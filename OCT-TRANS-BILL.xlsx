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Transport\"/>
    </mc:Choice>
  </mc:AlternateContent>
  <xr:revisionPtr revIDLastSave="0" documentId="13_ncr:1_{5B413E30-293D-499C-88CD-86BE67F8468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les-Report-with Scolpin" sheetId="2" r:id="rId1"/>
  </sheets>
  <definedNames>
    <definedName name="_xlnm._FilterDatabase" localSheetId="0" hidden="1">'Sales-Report-with Scolpin'!$A$3:$AL$651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51" i="2" l="1"/>
  <c r="R651" i="2" s="1"/>
  <c r="P650" i="2"/>
  <c r="Z650" i="2" s="1"/>
  <c r="P649" i="2"/>
  <c r="Z649" i="2" s="1"/>
  <c r="P648" i="2"/>
  <c r="R648" i="2" s="1"/>
  <c r="P647" i="2"/>
  <c r="X647" i="2" s="1"/>
  <c r="P646" i="2"/>
  <c r="Z646" i="2" s="1"/>
  <c r="P645" i="2"/>
  <c r="X645" i="2" s="1"/>
  <c r="P644" i="2"/>
  <c r="Z644" i="2" s="1"/>
  <c r="P643" i="2"/>
  <c r="X643" i="2" s="1"/>
  <c r="P642" i="2"/>
  <c r="R642" i="2" s="1"/>
  <c r="P641" i="2"/>
  <c r="X641" i="2" s="1"/>
  <c r="P640" i="2"/>
  <c r="R640" i="2" s="1"/>
  <c r="P639" i="2"/>
  <c r="Z639" i="2" s="1"/>
  <c r="P638" i="2"/>
  <c r="Z638" i="2" s="1"/>
  <c r="P637" i="2"/>
  <c r="X637" i="2" s="1"/>
  <c r="P636" i="2"/>
  <c r="X636" i="2" s="1"/>
  <c r="P635" i="2"/>
  <c r="X635" i="2" s="1"/>
  <c r="P634" i="2"/>
  <c r="R634" i="2" s="1"/>
  <c r="P633" i="2"/>
  <c r="R633" i="2" s="1"/>
  <c r="P632" i="2"/>
  <c r="Z632" i="2" s="1"/>
  <c r="P631" i="2"/>
  <c r="Z631" i="2" s="1"/>
  <c r="P630" i="2"/>
  <c r="Z630" i="2" s="1"/>
  <c r="P629" i="2"/>
  <c r="X629" i="2" s="1"/>
  <c r="P628" i="2"/>
  <c r="Z628" i="2" s="1"/>
  <c r="P627" i="2"/>
  <c r="Z627" i="2" s="1"/>
  <c r="P626" i="2"/>
  <c r="R626" i="2" s="1"/>
  <c r="P625" i="2"/>
  <c r="Z625" i="2" s="1"/>
  <c r="P624" i="2"/>
  <c r="Z624" i="2" s="1"/>
  <c r="P623" i="2"/>
  <c r="Z623" i="2" s="1"/>
  <c r="P622" i="2"/>
  <c r="R622" i="2" s="1"/>
  <c r="P621" i="2"/>
  <c r="X621" i="2" s="1"/>
  <c r="P620" i="2"/>
  <c r="Z620" i="2" s="1"/>
  <c r="P619" i="2"/>
  <c r="Z619" i="2" s="1"/>
  <c r="P618" i="2"/>
  <c r="X618" i="2" s="1"/>
  <c r="P617" i="2"/>
  <c r="X617" i="2" s="1"/>
  <c r="P616" i="2"/>
  <c r="Z616" i="2" s="1"/>
  <c r="P615" i="2"/>
  <c r="R615" i="2" s="1"/>
  <c r="P614" i="2"/>
  <c r="R614" i="2" s="1"/>
  <c r="P613" i="2"/>
  <c r="X613" i="2" s="1"/>
  <c r="P612" i="2"/>
  <c r="Z612" i="2" s="1"/>
  <c r="P611" i="2"/>
  <c r="X611" i="2" s="1"/>
  <c r="P610" i="2"/>
  <c r="X610" i="2" s="1"/>
  <c r="P609" i="2"/>
  <c r="X609" i="2" s="1"/>
  <c r="P608" i="2"/>
  <c r="Z608" i="2" s="1"/>
  <c r="P607" i="2"/>
  <c r="R607" i="2" s="1"/>
  <c r="P606" i="2"/>
  <c r="X606" i="2" s="1"/>
  <c r="P605" i="2"/>
  <c r="Z605" i="2" s="1"/>
  <c r="P604" i="2"/>
  <c r="X604" i="2" s="1"/>
  <c r="P603" i="2"/>
  <c r="Z603" i="2" s="1"/>
  <c r="P602" i="2"/>
  <c r="X602" i="2" s="1"/>
  <c r="R650" i="2" l="1"/>
  <c r="Z642" i="2"/>
  <c r="Z636" i="2"/>
  <c r="R619" i="2"/>
  <c r="X614" i="2"/>
  <c r="X619" i="2"/>
  <c r="Z645" i="2"/>
  <c r="Z614" i="2"/>
  <c r="X642" i="2"/>
  <c r="X627" i="2"/>
  <c r="Z637" i="2"/>
  <c r="Z634" i="2"/>
  <c r="X640" i="2"/>
  <c r="Z643" i="2"/>
  <c r="Z651" i="2"/>
  <c r="Z611" i="2"/>
  <c r="R631" i="2"/>
  <c r="Z640" i="2"/>
  <c r="X648" i="2"/>
  <c r="R611" i="2"/>
  <c r="X651" i="2"/>
  <c r="Z617" i="2"/>
  <c r="R628" i="2"/>
  <c r="X631" i="2"/>
  <c r="R639" i="2"/>
  <c r="Z648" i="2"/>
  <c r="Z629" i="2"/>
  <c r="X634" i="2"/>
  <c r="X622" i="2"/>
  <c r="X628" i="2"/>
  <c r="R636" i="2"/>
  <c r="X639" i="2"/>
  <c r="R645" i="2"/>
  <c r="Z609" i="2"/>
  <c r="Z622" i="2"/>
  <c r="X650" i="2"/>
  <c r="AA650" i="2" s="1"/>
  <c r="R649" i="2"/>
  <c r="X649" i="2"/>
  <c r="R630" i="2"/>
  <c r="R638" i="2"/>
  <c r="R644" i="2"/>
  <c r="X630" i="2"/>
  <c r="Z633" i="2"/>
  <c r="R641" i="2"/>
  <c r="X644" i="2"/>
  <c r="Z647" i="2"/>
  <c r="R629" i="2"/>
  <c r="X632" i="2"/>
  <c r="Z635" i="2"/>
  <c r="R637" i="2"/>
  <c r="Z641" i="2"/>
  <c r="R643" i="2"/>
  <c r="X646" i="2"/>
  <c r="R647" i="2"/>
  <c r="X633" i="2"/>
  <c r="R635" i="2"/>
  <c r="X638" i="2"/>
  <c r="R632" i="2"/>
  <c r="R646" i="2"/>
  <c r="X626" i="2"/>
  <c r="Z626" i="2"/>
  <c r="R625" i="2"/>
  <c r="X625" i="2"/>
  <c r="R627" i="2"/>
  <c r="R624" i="2"/>
  <c r="X624" i="2"/>
  <c r="R608" i="2"/>
  <c r="X608" i="2"/>
  <c r="R618" i="2"/>
  <c r="Z621" i="2"/>
  <c r="Z610" i="2"/>
  <c r="R612" i="2"/>
  <c r="X615" i="2"/>
  <c r="Z618" i="2"/>
  <c r="R620" i="2"/>
  <c r="X623" i="2"/>
  <c r="Z613" i="2"/>
  <c r="R623" i="2"/>
  <c r="R609" i="2"/>
  <c r="X612" i="2"/>
  <c r="Z615" i="2"/>
  <c r="R617" i="2"/>
  <c r="X620" i="2"/>
  <c r="R616" i="2"/>
  <c r="R613" i="2"/>
  <c r="X616" i="2"/>
  <c r="R621" i="2"/>
  <c r="AA621" i="2" s="1"/>
  <c r="R610" i="2"/>
  <c r="R604" i="2"/>
  <c r="X607" i="2"/>
  <c r="Z607" i="2"/>
  <c r="R602" i="2"/>
  <c r="R606" i="2"/>
  <c r="Z602" i="2"/>
  <c r="Z604" i="2"/>
  <c r="Z606" i="2"/>
  <c r="X603" i="2"/>
  <c r="X605" i="2"/>
  <c r="R603" i="2"/>
  <c r="R605" i="2"/>
  <c r="P601" i="2"/>
  <c r="Z601" i="2" s="1"/>
  <c r="P600" i="2"/>
  <c r="Z600" i="2" s="1"/>
  <c r="P599" i="2"/>
  <c r="Z599" i="2" s="1"/>
  <c r="P598" i="2"/>
  <c r="X598" i="2" s="1"/>
  <c r="P597" i="2"/>
  <c r="R597" i="2" s="1"/>
  <c r="P596" i="2"/>
  <c r="Z596" i="2" s="1"/>
  <c r="P595" i="2"/>
  <c r="R595" i="2" s="1"/>
  <c r="P594" i="2"/>
  <c r="Z594" i="2" s="1"/>
  <c r="P593" i="2"/>
  <c r="Z593" i="2" s="1"/>
  <c r="P592" i="2"/>
  <c r="R592" i="2" s="1"/>
  <c r="P591" i="2"/>
  <c r="Z591" i="2" s="1"/>
  <c r="P590" i="2"/>
  <c r="X590" i="2" s="1"/>
  <c r="P589" i="2"/>
  <c r="R589" i="2" s="1"/>
  <c r="P588" i="2"/>
  <c r="X588" i="2" s="1"/>
  <c r="P587" i="2"/>
  <c r="R587" i="2" s="1"/>
  <c r="P586" i="2"/>
  <c r="Z586" i="2" s="1"/>
  <c r="P585" i="2"/>
  <c r="Z585" i="2" s="1"/>
  <c r="P584" i="2"/>
  <c r="Z584" i="2" s="1"/>
  <c r="P583" i="2"/>
  <c r="Z583" i="2" s="1"/>
  <c r="P582" i="2"/>
  <c r="X582" i="2" s="1"/>
  <c r="P581" i="2"/>
  <c r="Z581" i="2" s="1"/>
  <c r="P580" i="2"/>
  <c r="Z580" i="2" s="1"/>
  <c r="P579" i="2"/>
  <c r="R579" i="2" s="1"/>
  <c r="P578" i="2"/>
  <c r="Z578" i="2" s="1"/>
  <c r="P577" i="2"/>
  <c r="Z577" i="2" s="1"/>
  <c r="P576" i="2"/>
  <c r="Z576" i="2" s="1"/>
  <c r="P575" i="2"/>
  <c r="X575" i="2" s="1"/>
  <c r="P574" i="2"/>
  <c r="R574" i="2" s="1"/>
  <c r="P573" i="2"/>
  <c r="X573" i="2" s="1"/>
  <c r="P572" i="2"/>
  <c r="Z572" i="2" s="1"/>
  <c r="P571" i="2"/>
  <c r="Z571" i="2" s="1"/>
  <c r="P570" i="2"/>
  <c r="R570" i="2" s="1"/>
  <c r="P569" i="2"/>
  <c r="X569" i="2" s="1"/>
  <c r="P568" i="2"/>
  <c r="Z568" i="2" s="1"/>
  <c r="P567" i="2"/>
  <c r="R567" i="2" s="1"/>
  <c r="P566" i="2"/>
  <c r="R566" i="2" s="1"/>
  <c r="P565" i="2"/>
  <c r="X565" i="2" s="1"/>
  <c r="P564" i="2"/>
  <c r="Z564" i="2" s="1"/>
  <c r="P563" i="2"/>
  <c r="R563" i="2" s="1"/>
  <c r="P562" i="2"/>
  <c r="R562" i="2" s="1"/>
  <c r="P561" i="2"/>
  <c r="X561" i="2" s="1"/>
  <c r="P560" i="2"/>
  <c r="Z560" i="2" s="1"/>
  <c r="P559" i="2"/>
  <c r="R559" i="2" s="1"/>
  <c r="P558" i="2"/>
  <c r="R558" i="2" s="1"/>
  <c r="P557" i="2"/>
  <c r="X557" i="2" s="1"/>
  <c r="P556" i="2"/>
  <c r="Z556" i="2" s="1"/>
  <c r="P555" i="2"/>
  <c r="Z555" i="2" s="1"/>
  <c r="P554" i="2"/>
  <c r="X554" i="2" s="1"/>
  <c r="P553" i="2"/>
  <c r="R553" i="2" s="1"/>
  <c r="P552" i="2"/>
  <c r="Z552" i="2" s="1"/>
  <c r="P551" i="2"/>
  <c r="R551" i="2" s="1"/>
  <c r="P550" i="2"/>
  <c r="Z550" i="2" s="1"/>
  <c r="P549" i="2"/>
  <c r="Z549" i="2" s="1"/>
  <c r="P548" i="2"/>
  <c r="X548" i="2" s="1"/>
  <c r="P547" i="2"/>
  <c r="R547" i="2" s="1"/>
  <c r="P546" i="2"/>
  <c r="X546" i="2" s="1"/>
  <c r="P545" i="2"/>
  <c r="X545" i="2" s="1"/>
  <c r="P544" i="2"/>
  <c r="Z544" i="2" s="1"/>
  <c r="P543" i="2"/>
  <c r="R543" i="2" s="1"/>
  <c r="P542" i="2"/>
  <c r="Z542" i="2" s="1"/>
  <c r="P541" i="2"/>
  <c r="Z541" i="2" s="1"/>
  <c r="P540" i="2"/>
  <c r="Z540" i="2" s="1"/>
  <c r="P539" i="2"/>
  <c r="X539" i="2" s="1"/>
  <c r="P538" i="2"/>
  <c r="X538" i="2" s="1"/>
  <c r="P537" i="2"/>
  <c r="Z537" i="2" s="1"/>
  <c r="P536" i="2"/>
  <c r="Z536" i="2" s="1"/>
  <c r="P535" i="2"/>
  <c r="R535" i="2" s="1"/>
  <c r="P534" i="2"/>
  <c r="Z534" i="2" s="1"/>
  <c r="P533" i="2"/>
  <c r="Z533" i="2" s="1"/>
  <c r="P532" i="2"/>
  <c r="Z532" i="2" s="1"/>
  <c r="P531" i="2"/>
  <c r="R531" i="2" s="1"/>
  <c r="P530" i="2"/>
  <c r="X530" i="2" s="1"/>
  <c r="P529" i="2"/>
  <c r="Z529" i="2" s="1"/>
  <c r="P528" i="2"/>
  <c r="Z528" i="2" s="1"/>
  <c r="P527" i="2"/>
  <c r="R527" i="2" s="1"/>
  <c r="P526" i="2"/>
  <c r="Z526" i="2" s="1"/>
  <c r="P525" i="2"/>
  <c r="Z525" i="2" s="1"/>
  <c r="P524" i="2"/>
  <c r="Z524" i="2" s="1"/>
  <c r="P523" i="2"/>
  <c r="X523" i="2" s="1"/>
  <c r="P522" i="2"/>
  <c r="X522" i="2" s="1"/>
  <c r="P521" i="2"/>
  <c r="R521" i="2" s="1"/>
  <c r="P520" i="2"/>
  <c r="Z520" i="2" s="1"/>
  <c r="P519" i="2"/>
  <c r="R519" i="2" s="1"/>
  <c r="P518" i="2"/>
  <c r="Z518" i="2" s="1"/>
  <c r="P517" i="2"/>
  <c r="Z517" i="2" s="1"/>
  <c r="P516" i="2"/>
  <c r="X516" i="2" s="1"/>
  <c r="P515" i="2"/>
  <c r="R515" i="2" s="1"/>
  <c r="P514" i="2"/>
  <c r="X514" i="2" s="1"/>
  <c r="P513" i="2"/>
  <c r="Z513" i="2" s="1"/>
  <c r="P512" i="2"/>
  <c r="Z512" i="2" s="1"/>
  <c r="P511" i="2"/>
  <c r="R511" i="2" s="1"/>
  <c r="P510" i="2"/>
  <c r="Z510" i="2" s="1"/>
  <c r="P509" i="2"/>
  <c r="Z509" i="2" s="1"/>
  <c r="P508" i="2"/>
  <c r="Z508" i="2" s="1"/>
  <c r="P507" i="2"/>
  <c r="Z507" i="2" s="1"/>
  <c r="P506" i="2"/>
  <c r="R506" i="2" s="1"/>
  <c r="P505" i="2"/>
  <c r="R505" i="2" s="1"/>
  <c r="P504" i="2"/>
  <c r="Z504" i="2" s="1"/>
  <c r="P503" i="2"/>
  <c r="Z503" i="2" s="1"/>
  <c r="P502" i="2"/>
  <c r="R502" i="2" s="1"/>
  <c r="P501" i="2"/>
  <c r="X501" i="2" s="1"/>
  <c r="P500" i="2"/>
  <c r="Z500" i="2" s="1"/>
  <c r="P499" i="2"/>
  <c r="Z499" i="2" s="1"/>
  <c r="P498" i="2"/>
  <c r="X498" i="2" s="1"/>
  <c r="P497" i="2"/>
  <c r="Z497" i="2" s="1"/>
  <c r="AA643" i="2" l="1"/>
  <c r="AA619" i="2"/>
  <c r="AA645" i="2"/>
  <c r="AA614" i="2"/>
  <c r="AA637" i="2"/>
  <c r="AA635" i="2"/>
  <c r="AA610" i="2"/>
  <c r="AA634" i="2"/>
  <c r="AA642" i="2"/>
  <c r="AA636" i="2"/>
  <c r="AA648" i="2"/>
  <c r="AA631" i="2"/>
  <c r="AA651" i="2"/>
  <c r="AA611" i="2"/>
  <c r="AA639" i="2"/>
  <c r="AA640" i="2"/>
  <c r="AA646" i="2"/>
  <c r="AA617" i="2"/>
  <c r="AA627" i="2"/>
  <c r="AA622" i="2"/>
  <c r="AA628" i="2"/>
  <c r="AA609" i="2"/>
  <c r="AA644" i="2"/>
  <c r="AA623" i="2"/>
  <c r="AA629" i="2"/>
  <c r="AA604" i="2"/>
  <c r="AA618" i="2"/>
  <c r="AA633" i="2"/>
  <c r="AA630" i="2"/>
  <c r="AA641" i="2"/>
  <c r="AA647" i="2"/>
  <c r="AA649" i="2"/>
  <c r="AA638" i="2"/>
  <c r="AA632" i="2"/>
  <c r="AA626" i="2"/>
  <c r="AA624" i="2"/>
  <c r="AA625" i="2"/>
  <c r="AA613" i="2"/>
  <c r="AA615" i="2"/>
  <c r="AA612" i="2"/>
  <c r="AA620" i="2"/>
  <c r="AA608" i="2"/>
  <c r="AA616" i="2"/>
  <c r="AA602" i="2"/>
  <c r="AA603" i="2"/>
  <c r="AA607" i="2"/>
  <c r="X592" i="2"/>
  <c r="AA606" i="2"/>
  <c r="Z592" i="2"/>
  <c r="AA605" i="2"/>
  <c r="Z598" i="2"/>
  <c r="Z587" i="2"/>
  <c r="R593" i="2"/>
  <c r="R584" i="2"/>
  <c r="X576" i="2"/>
  <c r="R576" i="2"/>
  <c r="X584" i="2"/>
  <c r="Z579" i="2"/>
  <c r="Z582" i="2"/>
  <c r="R585" i="2"/>
  <c r="X595" i="2"/>
  <c r="R600" i="2"/>
  <c r="R577" i="2"/>
  <c r="Z590" i="2"/>
  <c r="X579" i="2"/>
  <c r="X587" i="2"/>
  <c r="Z595" i="2"/>
  <c r="X580" i="2"/>
  <c r="X600" i="2"/>
  <c r="R581" i="2"/>
  <c r="R578" i="2"/>
  <c r="X581" i="2"/>
  <c r="R586" i="2"/>
  <c r="X589" i="2"/>
  <c r="R594" i="2"/>
  <c r="X597" i="2"/>
  <c r="X578" i="2"/>
  <c r="R583" i="2"/>
  <c r="X586" i="2"/>
  <c r="Z589" i="2"/>
  <c r="R591" i="2"/>
  <c r="X594" i="2"/>
  <c r="Z597" i="2"/>
  <c r="R599" i="2"/>
  <c r="R580" i="2"/>
  <c r="X583" i="2"/>
  <c r="R588" i="2"/>
  <c r="X591" i="2"/>
  <c r="R596" i="2"/>
  <c r="X599" i="2"/>
  <c r="R601" i="2"/>
  <c r="X596" i="2"/>
  <c r="X577" i="2"/>
  <c r="R582" i="2"/>
  <c r="X585" i="2"/>
  <c r="Z588" i="2"/>
  <c r="R590" i="2"/>
  <c r="X593" i="2"/>
  <c r="R598" i="2"/>
  <c r="X601" i="2"/>
  <c r="Z554" i="2"/>
  <c r="X558" i="2"/>
  <c r="R554" i="2"/>
  <c r="X562" i="2"/>
  <c r="Z575" i="2"/>
  <c r="Z562" i="2"/>
  <c r="Z565" i="2"/>
  <c r="Z573" i="2"/>
  <c r="X563" i="2"/>
  <c r="Z563" i="2"/>
  <c r="X567" i="2"/>
  <c r="R571" i="2"/>
  <c r="X559" i="2"/>
  <c r="X574" i="2"/>
  <c r="Z559" i="2"/>
  <c r="Z574" i="2"/>
  <c r="X553" i="2"/>
  <c r="Z557" i="2"/>
  <c r="Z567" i="2"/>
  <c r="X571" i="2"/>
  <c r="R575" i="2"/>
  <c r="X566" i="2"/>
  <c r="X570" i="2"/>
  <c r="Z570" i="2"/>
  <c r="R555" i="2"/>
  <c r="Z558" i="2"/>
  <c r="R560" i="2"/>
  <c r="Z566" i="2"/>
  <c r="R568" i="2"/>
  <c r="X555" i="2"/>
  <c r="R557" i="2"/>
  <c r="X560" i="2"/>
  <c r="R565" i="2"/>
  <c r="X568" i="2"/>
  <c r="R573" i="2"/>
  <c r="Z561" i="2"/>
  <c r="Z569" i="2"/>
  <c r="Z553" i="2"/>
  <c r="R556" i="2"/>
  <c r="R564" i="2"/>
  <c r="R572" i="2"/>
  <c r="X556" i="2"/>
  <c r="R561" i="2"/>
  <c r="X564" i="2"/>
  <c r="R569" i="2"/>
  <c r="AA569" i="2" s="1"/>
  <c r="X572" i="2"/>
  <c r="Z506" i="2"/>
  <c r="Z548" i="2"/>
  <c r="Z519" i="2"/>
  <c r="R516" i="2"/>
  <c r="X540" i="2"/>
  <c r="R546" i="2"/>
  <c r="R540" i="2"/>
  <c r="Z516" i="2"/>
  <c r="Z546" i="2"/>
  <c r="Z543" i="2"/>
  <c r="R548" i="2"/>
  <c r="Z527" i="2"/>
  <c r="Z535" i="2"/>
  <c r="X519" i="2"/>
  <c r="X506" i="2"/>
  <c r="Z514" i="2"/>
  <c r="X527" i="2"/>
  <c r="X535" i="2"/>
  <c r="X511" i="2"/>
  <c r="R524" i="2"/>
  <c r="R532" i="2"/>
  <c r="Z511" i="2"/>
  <c r="X524" i="2"/>
  <c r="X532" i="2"/>
  <c r="R508" i="2"/>
  <c r="X508" i="2"/>
  <c r="R538" i="2"/>
  <c r="R522" i="2"/>
  <c r="Z538" i="2"/>
  <c r="X551" i="2"/>
  <c r="R514" i="2"/>
  <c r="Z522" i="2"/>
  <c r="X543" i="2"/>
  <c r="Z551" i="2"/>
  <c r="R513" i="2"/>
  <c r="R529" i="2"/>
  <c r="R537" i="2"/>
  <c r="R545" i="2"/>
  <c r="R518" i="2"/>
  <c r="X529" i="2"/>
  <c r="R534" i="2"/>
  <c r="X537" i="2"/>
  <c r="R542" i="2"/>
  <c r="X505" i="2"/>
  <c r="X518" i="2"/>
  <c r="R523" i="2"/>
  <c r="X526" i="2"/>
  <c r="Z545" i="2"/>
  <c r="R507" i="2"/>
  <c r="R512" i="2"/>
  <c r="X515" i="2"/>
  <c r="R520" i="2"/>
  <c r="R536" i="2"/>
  <c r="R544" i="2"/>
  <c r="X547" i="2"/>
  <c r="R552" i="2"/>
  <c r="R504" i="2"/>
  <c r="X507" i="2"/>
  <c r="R509" i="2"/>
  <c r="X512" i="2"/>
  <c r="Z515" i="2"/>
  <c r="R517" i="2"/>
  <c r="X520" i="2"/>
  <c r="Z523" i="2"/>
  <c r="R525" i="2"/>
  <c r="X528" i="2"/>
  <c r="Z530" i="2"/>
  <c r="Z531" i="2"/>
  <c r="R533" i="2"/>
  <c r="X536" i="2"/>
  <c r="Z539" i="2"/>
  <c r="R541" i="2"/>
  <c r="X544" i="2"/>
  <c r="Z547" i="2"/>
  <c r="R549" i="2"/>
  <c r="X552" i="2"/>
  <c r="R510" i="2"/>
  <c r="X513" i="2"/>
  <c r="X521" i="2"/>
  <c r="R526" i="2"/>
  <c r="X510" i="2"/>
  <c r="Z521" i="2"/>
  <c r="X550" i="2"/>
  <c r="Z505" i="2"/>
  <c r="R528" i="2"/>
  <c r="X531" i="2"/>
  <c r="X504" i="2"/>
  <c r="X509" i="2"/>
  <c r="X517" i="2"/>
  <c r="X525" i="2"/>
  <c r="X533" i="2"/>
  <c r="X541" i="2"/>
  <c r="X549" i="2"/>
  <c r="R550" i="2"/>
  <c r="R530" i="2"/>
  <c r="X534" i="2"/>
  <c r="R539" i="2"/>
  <c r="X542" i="2"/>
  <c r="Z498" i="2"/>
  <c r="X502" i="2"/>
  <c r="Z502" i="2"/>
  <c r="Z501" i="2"/>
  <c r="R497" i="2"/>
  <c r="X497" i="2"/>
  <c r="R501" i="2"/>
  <c r="R499" i="2"/>
  <c r="X499" i="2"/>
  <c r="R503" i="2"/>
  <c r="R500" i="2"/>
  <c r="X503" i="2"/>
  <c r="R498" i="2"/>
  <c r="X500" i="2"/>
  <c r="AA506" i="2" l="1"/>
  <c r="AA582" i="2"/>
  <c r="AA576" i="2"/>
  <c r="AA592" i="2"/>
  <c r="AA558" i="2"/>
  <c r="AA580" i="2"/>
  <c r="AA587" i="2"/>
  <c r="AA585" i="2"/>
  <c r="AA598" i="2"/>
  <c r="AA590" i="2"/>
  <c r="AA595" i="2"/>
  <c r="AA579" i="2"/>
  <c r="AA584" i="2"/>
  <c r="AA600" i="2"/>
  <c r="AA567" i="2"/>
  <c r="AA593" i="2"/>
  <c r="AA559" i="2"/>
  <c r="AA554" i="2"/>
  <c r="AA578" i="2"/>
  <c r="AA577" i="2"/>
  <c r="AA597" i="2"/>
  <c r="AA563" i="2"/>
  <c r="AA562" i="2"/>
  <c r="AA589" i="2"/>
  <c r="AA596" i="2"/>
  <c r="AA591" i="2"/>
  <c r="AA586" i="2"/>
  <c r="AA599" i="2"/>
  <c r="AA594" i="2"/>
  <c r="AA588" i="2"/>
  <c r="AA583" i="2"/>
  <c r="AA581" i="2"/>
  <c r="AA601" i="2"/>
  <c r="AA571" i="2"/>
  <c r="AA566" i="2"/>
  <c r="AA570" i="2"/>
  <c r="AA573" i="2"/>
  <c r="AA565" i="2"/>
  <c r="AA574" i="2"/>
  <c r="AA575" i="2"/>
  <c r="AA553" i="2"/>
  <c r="AA514" i="2"/>
  <c r="AA546" i="2"/>
  <c r="AA561" i="2"/>
  <c r="AA564" i="2"/>
  <c r="AA557" i="2"/>
  <c r="AA560" i="2"/>
  <c r="AA572" i="2"/>
  <c r="AA555" i="2"/>
  <c r="AA556" i="2"/>
  <c r="AA568" i="2"/>
  <c r="AA508" i="2"/>
  <c r="AA527" i="2"/>
  <c r="AA548" i="2"/>
  <c r="AA538" i="2"/>
  <c r="AA522" i="2"/>
  <c r="AA516" i="2"/>
  <c r="AA532" i="2"/>
  <c r="AA540" i="2"/>
  <c r="AA519" i="2"/>
  <c r="AA543" i="2"/>
  <c r="AA535" i="2"/>
  <c r="AA551" i="2"/>
  <c r="AA498" i="2"/>
  <c r="AA533" i="2"/>
  <c r="AA511" i="2"/>
  <c r="AA523" i="2"/>
  <c r="AA536" i="2"/>
  <c r="AA549" i="2"/>
  <c r="AA524" i="2"/>
  <c r="AA509" i="2"/>
  <c r="AA520" i="2"/>
  <c r="AA501" i="2"/>
  <c r="AA539" i="2"/>
  <c r="AA515" i="2"/>
  <c r="AA510" i="2"/>
  <c r="AA517" i="2"/>
  <c r="AA534" i="2"/>
  <c r="AA529" i="2"/>
  <c r="AA518" i="2"/>
  <c r="AA521" i="2"/>
  <c r="AA505" i="2"/>
  <c r="AA547" i="2"/>
  <c r="AA531" i="2"/>
  <c r="AA544" i="2"/>
  <c r="AA513" i="2"/>
  <c r="AA541" i="2"/>
  <c r="AA550" i="2"/>
  <c r="AA504" i="2"/>
  <c r="AA512" i="2"/>
  <c r="AA542" i="2"/>
  <c r="AA537" i="2"/>
  <c r="AA530" i="2"/>
  <c r="AA526" i="2"/>
  <c r="AA525" i="2"/>
  <c r="AA545" i="2"/>
  <c r="AA528" i="2"/>
  <c r="AA552" i="2"/>
  <c r="AA507" i="2"/>
  <c r="AA502" i="2"/>
  <c r="AA503" i="2"/>
  <c r="AA500" i="2"/>
  <c r="AA499" i="2"/>
  <c r="AA497" i="2"/>
  <c r="P496" i="2" l="1"/>
  <c r="Z496" i="2" s="1"/>
  <c r="P495" i="2"/>
  <c r="R495" i="2" s="1"/>
  <c r="P494" i="2"/>
  <c r="R494" i="2" s="1"/>
  <c r="P493" i="2"/>
  <c r="Z493" i="2" s="1"/>
  <c r="P492" i="2"/>
  <c r="X492" i="2" s="1"/>
  <c r="P491" i="2"/>
  <c r="Z491" i="2" s="1"/>
  <c r="P490" i="2"/>
  <c r="X490" i="2" s="1"/>
  <c r="P489" i="2"/>
  <c r="Z489" i="2" s="1"/>
  <c r="P488" i="2"/>
  <c r="Z488" i="2" s="1"/>
  <c r="P487" i="2"/>
  <c r="R487" i="2" s="1"/>
  <c r="P486" i="2"/>
  <c r="R486" i="2" s="1"/>
  <c r="P485" i="2"/>
  <c r="Z485" i="2" s="1"/>
  <c r="P484" i="2"/>
  <c r="Z484" i="2" s="1"/>
  <c r="P483" i="2"/>
  <c r="Z483" i="2" s="1"/>
  <c r="P482" i="2"/>
  <c r="X482" i="2" s="1"/>
  <c r="P481" i="2"/>
  <c r="R481" i="2" s="1"/>
  <c r="P480" i="2"/>
  <c r="Z480" i="2" s="1"/>
  <c r="P479" i="2"/>
  <c r="R479" i="2" s="1"/>
  <c r="P478" i="2"/>
  <c r="Z478" i="2" s="1"/>
  <c r="P477" i="2"/>
  <c r="Z477" i="2" s="1"/>
  <c r="P476" i="2"/>
  <c r="Z476" i="2" s="1"/>
  <c r="P475" i="2"/>
  <c r="Z475" i="2" s="1"/>
  <c r="P474" i="2"/>
  <c r="X474" i="2" s="1"/>
  <c r="P473" i="2"/>
  <c r="R473" i="2" s="1"/>
  <c r="P472" i="2"/>
  <c r="Z472" i="2" s="1"/>
  <c r="P471" i="2"/>
  <c r="R471" i="2" s="1"/>
  <c r="P470" i="2"/>
  <c r="Z470" i="2" s="1"/>
  <c r="P469" i="2"/>
  <c r="Z469" i="2" s="1"/>
  <c r="P468" i="2"/>
  <c r="X468" i="2" s="1"/>
  <c r="P467" i="2"/>
  <c r="Z467" i="2" s="1"/>
  <c r="P466" i="2"/>
  <c r="X466" i="2" s="1"/>
  <c r="P465" i="2"/>
  <c r="R465" i="2" s="1"/>
  <c r="P464" i="2"/>
  <c r="Z464" i="2" s="1"/>
  <c r="P463" i="2"/>
  <c r="R463" i="2" s="1"/>
  <c r="P462" i="2"/>
  <c r="Z462" i="2" s="1"/>
  <c r="P461" i="2"/>
  <c r="Z461" i="2" s="1"/>
  <c r="P460" i="2"/>
  <c r="X460" i="2" s="1"/>
  <c r="P459" i="2"/>
  <c r="Z459" i="2" s="1"/>
  <c r="P458" i="2"/>
  <c r="Z458" i="2" s="1"/>
  <c r="P457" i="2"/>
  <c r="Z457" i="2" s="1"/>
  <c r="P456" i="2"/>
  <c r="X456" i="2" s="1"/>
  <c r="P455" i="2"/>
  <c r="Z455" i="2" s="1"/>
  <c r="P454" i="2"/>
  <c r="Z454" i="2" s="1"/>
  <c r="P453" i="2"/>
  <c r="X453" i="2" s="1"/>
  <c r="P452" i="2"/>
  <c r="X452" i="2" s="1"/>
  <c r="P451" i="2"/>
  <c r="Z451" i="2" s="1"/>
  <c r="P450" i="2"/>
  <c r="X450" i="2" s="1"/>
  <c r="P449" i="2"/>
  <c r="Z449" i="2" s="1"/>
  <c r="P448" i="2"/>
  <c r="X448" i="2" s="1"/>
  <c r="P447" i="2"/>
  <c r="Z447" i="2" s="1"/>
  <c r="P446" i="2"/>
  <c r="X446" i="2" s="1"/>
  <c r="P445" i="2"/>
  <c r="X445" i="2" s="1"/>
  <c r="P444" i="2"/>
  <c r="Z444" i="2" s="1"/>
  <c r="P443" i="2"/>
  <c r="X443" i="2" s="1"/>
  <c r="P442" i="2"/>
  <c r="Z442" i="2" s="1"/>
  <c r="P441" i="2"/>
  <c r="X441" i="2" s="1"/>
  <c r="P440" i="2"/>
  <c r="Z440" i="2" s="1"/>
  <c r="P439" i="2"/>
  <c r="Z439" i="2" s="1"/>
  <c r="P438" i="2"/>
  <c r="R438" i="2" s="1"/>
  <c r="P437" i="2"/>
  <c r="Z437" i="2" s="1"/>
  <c r="P436" i="2"/>
  <c r="R436" i="2" s="1"/>
  <c r="P435" i="2"/>
  <c r="X435" i="2" s="1"/>
  <c r="P434" i="2"/>
  <c r="Z434" i="2" s="1"/>
  <c r="P433" i="2"/>
  <c r="X433" i="2" s="1"/>
  <c r="P432" i="2"/>
  <c r="Z432" i="2" s="1"/>
  <c r="P431" i="2"/>
  <c r="Z431" i="2" s="1"/>
  <c r="P430" i="2"/>
  <c r="R430" i="2" s="1"/>
  <c r="P429" i="2"/>
  <c r="Z429" i="2" s="1"/>
  <c r="P428" i="2"/>
  <c r="X428" i="2" s="1"/>
  <c r="P427" i="2"/>
  <c r="X427" i="2" s="1"/>
  <c r="P426" i="2"/>
  <c r="X426" i="2" s="1"/>
  <c r="P425" i="2"/>
  <c r="R425" i="2" s="1"/>
  <c r="P424" i="2"/>
  <c r="Z424" i="2" s="1"/>
  <c r="P423" i="2"/>
  <c r="R423" i="2" s="1"/>
  <c r="P422" i="2"/>
  <c r="Z422" i="2" s="1"/>
  <c r="P421" i="2"/>
  <c r="Z421" i="2" s="1"/>
  <c r="P420" i="2"/>
  <c r="X420" i="2" s="1"/>
  <c r="P419" i="2"/>
  <c r="Z419" i="2" s="1"/>
  <c r="P418" i="2"/>
  <c r="Z418" i="2" s="1"/>
  <c r="P417" i="2"/>
  <c r="R417" i="2" s="1"/>
  <c r="P416" i="2"/>
  <c r="Z416" i="2" s="1"/>
  <c r="P415" i="2"/>
  <c r="R415" i="2" s="1"/>
  <c r="P414" i="2"/>
  <c r="Z414" i="2" s="1"/>
  <c r="P413" i="2"/>
  <c r="Z413" i="2" s="1"/>
  <c r="P412" i="2"/>
  <c r="X412" i="2" s="1"/>
  <c r="P411" i="2"/>
  <c r="Z411" i="2" s="1"/>
  <c r="P410" i="2"/>
  <c r="Z410" i="2" s="1"/>
  <c r="P409" i="2"/>
  <c r="R409" i="2" s="1"/>
  <c r="P408" i="2"/>
  <c r="Z408" i="2" s="1"/>
  <c r="P407" i="2"/>
  <c r="R407" i="2" s="1"/>
  <c r="P406" i="2"/>
  <c r="Z406" i="2" s="1"/>
  <c r="P405" i="2"/>
  <c r="Z405" i="2" s="1"/>
  <c r="P404" i="2"/>
  <c r="X404" i="2" s="1"/>
  <c r="P403" i="2"/>
  <c r="X403" i="2" s="1"/>
  <c r="P402" i="2"/>
  <c r="R402" i="2" s="1"/>
  <c r="P401" i="2"/>
  <c r="R401" i="2" s="1"/>
  <c r="P400" i="2"/>
  <c r="X400" i="2" s="1"/>
  <c r="P399" i="2"/>
  <c r="R399" i="2" s="1"/>
  <c r="P398" i="2"/>
  <c r="R398" i="2" s="1"/>
  <c r="P397" i="2"/>
  <c r="Z397" i="2" s="1"/>
  <c r="P396" i="2"/>
  <c r="X396" i="2" s="1"/>
  <c r="P395" i="2"/>
  <c r="Z395" i="2" s="1"/>
  <c r="P394" i="2"/>
  <c r="Z394" i="2" s="1"/>
  <c r="P393" i="2"/>
  <c r="R393" i="2" s="1"/>
  <c r="P392" i="2"/>
  <c r="Z392" i="2" s="1"/>
  <c r="P391" i="2"/>
  <c r="R391" i="2" s="1"/>
  <c r="P390" i="2"/>
  <c r="Z390" i="2" s="1"/>
  <c r="P389" i="2"/>
  <c r="X389" i="2" s="1"/>
  <c r="P388" i="2"/>
  <c r="Z388" i="2" s="1"/>
  <c r="P387" i="2"/>
  <c r="Z387" i="2" s="1"/>
  <c r="P386" i="2"/>
  <c r="X386" i="2" s="1"/>
  <c r="P385" i="2"/>
  <c r="R385" i="2" s="1"/>
  <c r="P384" i="2"/>
  <c r="Z384" i="2" s="1"/>
  <c r="P383" i="2"/>
  <c r="R383" i="2" s="1"/>
  <c r="P382" i="2"/>
  <c r="Z382" i="2" s="1"/>
  <c r="P381" i="2"/>
  <c r="X381" i="2" s="1"/>
  <c r="P380" i="2"/>
  <c r="Z380" i="2" s="1"/>
  <c r="P379" i="2"/>
  <c r="Z379" i="2" s="1"/>
  <c r="P378" i="2"/>
  <c r="X378" i="2" s="1"/>
  <c r="P377" i="2"/>
  <c r="Z377" i="2" s="1"/>
  <c r="P376" i="2"/>
  <c r="Z376" i="2" s="1"/>
  <c r="P375" i="2"/>
  <c r="X375" i="2" s="1"/>
  <c r="P374" i="2"/>
  <c r="Z374" i="2" s="1"/>
  <c r="P373" i="2"/>
  <c r="X373" i="2" s="1"/>
  <c r="P372" i="2"/>
  <c r="Z372" i="2" s="1"/>
  <c r="P371" i="2"/>
  <c r="Z371" i="2" s="1"/>
  <c r="P370" i="2"/>
  <c r="R370" i="2" s="1"/>
  <c r="P369" i="2"/>
  <c r="X369" i="2" s="1"/>
  <c r="P368" i="2"/>
  <c r="Z368" i="2" s="1"/>
  <c r="P367" i="2"/>
  <c r="X367" i="2" s="1"/>
  <c r="P366" i="2"/>
  <c r="Z366" i="2" s="1"/>
  <c r="P365" i="2"/>
  <c r="R365" i="2" s="1"/>
  <c r="P364" i="2"/>
  <c r="Z364" i="2" s="1"/>
  <c r="P363" i="2"/>
  <c r="Z363" i="2" s="1"/>
  <c r="P362" i="2"/>
  <c r="X362" i="2" s="1"/>
  <c r="P361" i="2"/>
  <c r="Z361" i="2" s="1"/>
  <c r="P360" i="2"/>
  <c r="X360" i="2" s="1"/>
  <c r="P359" i="2"/>
  <c r="R359" i="2" s="1"/>
  <c r="P358" i="2"/>
  <c r="R358" i="2" s="1"/>
  <c r="P357" i="2"/>
  <c r="R357" i="2" s="1"/>
  <c r="P356" i="2"/>
  <c r="R356" i="2" s="1"/>
  <c r="P355" i="2"/>
  <c r="Z355" i="2" s="1"/>
  <c r="P354" i="2"/>
  <c r="X354" i="2" s="1"/>
  <c r="P353" i="2"/>
  <c r="Z353" i="2" s="1"/>
  <c r="P352" i="2"/>
  <c r="X352" i="2" s="1"/>
  <c r="P351" i="2"/>
  <c r="Z351" i="2" s="1"/>
  <c r="P350" i="2"/>
  <c r="Z350" i="2" s="1"/>
  <c r="P349" i="2"/>
  <c r="Z349" i="2" s="1"/>
  <c r="P348" i="2"/>
  <c r="Z348" i="2" s="1"/>
  <c r="P347" i="2"/>
  <c r="X347" i="2" s="1"/>
  <c r="P346" i="2"/>
  <c r="X346" i="2" s="1"/>
  <c r="P345" i="2"/>
  <c r="X345" i="2" s="1"/>
  <c r="P344" i="2"/>
  <c r="R344" i="2" s="1"/>
  <c r="P343" i="2"/>
  <c r="Z343" i="2" s="1"/>
  <c r="P342" i="2"/>
  <c r="Z342" i="2" s="1"/>
  <c r="P341" i="2"/>
  <c r="X341" i="2" s="1"/>
  <c r="P340" i="2"/>
  <c r="Z340" i="2" s="1"/>
  <c r="P339" i="2"/>
  <c r="X339" i="2" s="1"/>
  <c r="P338" i="2"/>
  <c r="R338" i="2" s="1"/>
  <c r="P337" i="2"/>
  <c r="X337" i="2" s="1"/>
  <c r="P336" i="2"/>
  <c r="R336" i="2" s="1"/>
  <c r="P335" i="2"/>
  <c r="Z335" i="2" s="1"/>
  <c r="P334" i="2"/>
  <c r="R334" i="2" s="1"/>
  <c r="P333" i="2"/>
  <c r="X333" i="2" s="1"/>
  <c r="P332" i="2"/>
  <c r="X332" i="2" s="1"/>
  <c r="P331" i="2"/>
  <c r="Z331" i="2" s="1"/>
  <c r="P330" i="2"/>
  <c r="Z330" i="2" s="1"/>
  <c r="P329" i="2"/>
  <c r="Z329" i="2" s="1"/>
  <c r="P328" i="2"/>
  <c r="X328" i="2" s="1"/>
  <c r="P327" i="2"/>
  <c r="X327" i="2" s="1"/>
  <c r="P326" i="2"/>
  <c r="X326" i="2" s="1"/>
  <c r="P325" i="2"/>
  <c r="R325" i="2" s="1"/>
  <c r="P324" i="2"/>
  <c r="R324" i="2" s="1"/>
  <c r="P323" i="2"/>
  <c r="Z323" i="2" s="1"/>
  <c r="P322" i="2"/>
  <c r="Z322" i="2" s="1"/>
  <c r="P321" i="2"/>
  <c r="Z321" i="2" s="1"/>
  <c r="P320" i="2"/>
  <c r="X320" i="2" s="1"/>
  <c r="P319" i="2"/>
  <c r="X319" i="2" s="1"/>
  <c r="P318" i="2"/>
  <c r="X318" i="2" s="1"/>
  <c r="P317" i="2"/>
  <c r="R317" i="2" s="1"/>
  <c r="P316" i="2"/>
  <c r="X316" i="2" s="1"/>
  <c r="P315" i="2"/>
  <c r="Z315" i="2" s="1"/>
  <c r="P314" i="2"/>
  <c r="Z314" i="2" s="1"/>
  <c r="P313" i="2"/>
  <c r="X313" i="2" s="1"/>
  <c r="P312" i="2"/>
  <c r="R312" i="2" s="1"/>
  <c r="P311" i="2"/>
  <c r="Z311" i="2" s="1"/>
  <c r="P310" i="2"/>
  <c r="X310" i="2" s="1"/>
  <c r="P309" i="2"/>
  <c r="X309" i="2" s="1"/>
  <c r="P308" i="2"/>
  <c r="X308" i="2" s="1"/>
  <c r="P307" i="2"/>
  <c r="Z307" i="2" s="1"/>
  <c r="P306" i="2"/>
  <c r="R306" i="2" s="1"/>
  <c r="P305" i="2"/>
  <c r="R305" i="2" s="1"/>
  <c r="P304" i="2"/>
  <c r="Z304" i="2" s="1"/>
  <c r="P303" i="2"/>
  <c r="Z303" i="2" s="1"/>
  <c r="P302" i="2"/>
  <c r="X302" i="2" s="1"/>
  <c r="P301" i="2"/>
  <c r="X301" i="2" s="1"/>
  <c r="P300" i="2"/>
  <c r="R300" i="2" s="1"/>
  <c r="P299" i="2"/>
  <c r="Z299" i="2" s="1"/>
  <c r="P298" i="2"/>
  <c r="R298" i="2" s="1"/>
  <c r="P297" i="2"/>
  <c r="Z297" i="2" s="1"/>
  <c r="P296" i="2"/>
  <c r="Z296" i="2" s="1"/>
  <c r="P295" i="2"/>
  <c r="Z295" i="2" s="1"/>
  <c r="P294" i="2"/>
  <c r="Z294" i="2" s="1"/>
  <c r="P293" i="2"/>
  <c r="X293" i="2" s="1"/>
  <c r="P292" i="2"/>
  <c r="R292" i="2" s="1"/>
  <c r="P291" i="2"/>
  <c r="R291" i="2" s="1"/>
  <c r="P290" i="2"/>
  <c r="X290" i="2" s="1"/>
  <c r="P289" i="2"/>
  <c r="R289" i="2" s="1"/>
  <c r="P288" i="2"/>
  <c r="Z288" i="2" s="1"/>
  <c r="P287" i="2"/>
  <c r="X287" i="2" s="1"/>
  <c r="P286" i="2"/>
  <c r="X286" i="2" s="1"/>
  <c r="P285" i="2"/>
  <c r="R285" i="2" s="1"/>
  <c r="P284" i="2"/>
  <c r="X284" i="2" s="1"/>
  <c r="P283" i="2"/>
  <c r="R283" i="2" s="1"/>
  <c r="P282" i="2"/>
  <c r="Z282" i="2" s="1"/>
  <c r="P281" i="2"/>
  <c r="R281" i="2" s="1"/>
  <c r="P280" i="2"/>
  <c r="Z280" i="2" s="1"/>
  <c r="P279" i="2"/>
  <c r="R279" i="2" s="1"/>
  <c r="P278" i="2"/>
  <c r="Z278" i="2" s="1"/>
  <c r="P277" i="2"/>
  <c r="R277" i="2" s="1"/>
  <c r="P276" i="2"/>
  <c r="X276" i="2" s="1"/>
  <c r="P275" i="2"/>
  <c r="X275" i="2" s="1"/>
  <c r="P274" i="2"/>
  <c r="R274" i="2" s="1"/>
  <c r="P273" i="2"/>
  <c r="R273" i="2" s="1"/>
  <c r="P272" i="2"/>
  <c r="X272" i="2" s="1"/>
  <c r="P271" i="2"/>
  <c r="Z271" i="2" s="1"/>
  <c r="P270" i="2"/>
  <c r="X270" i="2" s="1"/>
  <c r="P269" i="2"/>
  <c r="X269" i="2" s="1"/>
  <c r="P268" i="2"/>
  <c r="Z268" i="2" s="1"/>
  <c r="P267" i="2"/>
  <c r="Z267" i="2" s="1"/>
  <c r="P266" i="2"/>
  <c r="R266" i="2" s="1"/>
  <c r="P265" i="2"/>
  <c r="Z265" i="2" s="1"/>
  <c r="P264" i="2"/>
  <c r="Z264" i="2" s="1"/>
  <c r="P263" i="2"/>
  <c r="X263" i="2" s="1"/>
  <c r="P262" i="2"/>
  <c r="R262" i="2" s="1"/>
  <c r="P261" i="2"/>
  <c r="X261" i="2" s="1"/>
  <c r="P260" i="2"/>
  <c r="X260" i="2" s="1"/>
  <c r="P259" i="2"/>
  <c r="Z259" i="2" s="1"/>
  <c r="P258" i="2"/>
  <c r="R258" i="2" s="1"/>
  <c r="P257" i="2"/>
  <c r="Z257" i="2" s="1"/>
  <c r="P256" i="2"/>
  <c r="Z256" i="2" s="1"/>
  <c r="P255" i="2"/>
  <c r="Z255" i="2" s="1"/>
  <c r="P254" i="2"/>
  <c r="R254" i="2" s="1"/>
  <c r="P253" i="2"/>
  <c r="X253" i="2" s="1"/>
  <c r="P252" i="2"/>
  <c r="X252" i="2" s="1"/>
  <c r="P251" i="2"/>
  <c r="Z251" i="2" s="1"/>
  <c r="P250" i="2"/>
  <c r="R250" i="2" s="1"/>
  <c r="P249" i="2"/>
  <c r="X249" i="2" s="1"/>
  <c r="P248" i="2"/>
  <c r="Z248" i="2" s="1"/>
  <c r="P247" i="2"/>
  <c r="X247" i="2" s="1"/>
  <c r="P246" i="2"/>
  <c r="Z246" i="2" s="1"/>
  <c r="P245" i="2"/>
  <c r="R245" i="2" s="1"/>
  <c r="P244" i="2"/>
  <c r="Z244" i="2" s="1"/>
  <c r="P243" i="2"/>
  <c r="Z243" i="2" s="1"/>
  <c r="P242" i="2"/>
  <c r="Z242" i="2" s="1"/>
  <c r="P241" i="2"/>
  <c r="R241" i="2" s="1"/>
  <c r="P240" i="2"/>
  <c r="X240" i="2" s="1"/>
  <c r="P239" i="2"/>
  <c r="Z239" i="2" s="1"/>
  <c r="P238" i="2"/>
  <c r="R238" i="2" s="1"/>
  <c r="P237" i="2"/>
  <c r="X237" i="2" s="1"/>
  <c r="P236" i="2"/>
  <c r="Z236" i="2" s="1"/>
  <c r="P235" i="2"/>
  <c r="Z235" i="2" s="1"/>
  <c r="P234" i="2"/>
  <c r="Z234" i="2" s="1"/>
  <c r="P233" i="2"/>
  <c r="Z233" i="2" s="1"/>
  <c r="P232" i="2"/>
  <c r="R232" i="2" s="1"/>
  <c r="P231" i="2"/>
  <c r="R231" i="2" s="1"/>
  <c r="P230" i="2"/>
  <c r="X230" i="2" s="1"/>
  <c r="P229" i="2"/>
  <c r="Z229" i="2" s="1"/>
  <c r="P228" i="2"/>
  <c r="Z228" i="2" s="1"/>
  <c r="P227" i="2"/>
  <c r="Z227" i="2" s="1"/>
  <c r="P226" i="2"/>
  <c r="X226" i="2" s="1"/>
  <c r="P225" i="2"/>
  <c r="Z225" i="2" s="1"/>
  <c r="P224" i="2"/>
  <c r="R224" i="2" s="1"/>
  <c r="P223" i="2"/>
  <c r="R223" i="2" s="1"/>
  <c r="P222" i="2"/>
  <c r="X222" i="2" s="1"/>
  <c r="P221" i="2"/>
  <c r="Z221" i="2" s="1"/>
  <c r="P220" i="2"/>
  <c r="X220" i="2" s="1"/>
  <c r="P219" i="2"/>
  <c r="Z219" i="2" s="1"/>
  <c r="P218" i="2"/>
  <c r="R218" i="2" s="1"/>
  <c r="P217" i="2"/>
  <c r="R217" i="2" s="1"/>
  <c r="P216" i="2"/>
  <c r="X216" i="2" s="1"/>
  <c r="P215" i="2"/>
  <c r="Z215" i="2" s="1"/>
  <c r="P214" i="2"/>
  <c r="Z214" i="2" s="1"/>
  <c r="P213" i="2"/>
  <c r="Z213" i="2" s="1"/>
  <c r="P212" i="2"/>
  <c r="X212" i="2" s="1"/>
  <c r="P211" i="2"/>
  <c r="X211" i="2" s="1"/>
  <c r="P210" i="2"/>
  <c r="R210" i="2" s="1"/>
  <c r="P209" i="2"/>
  <c r="X209" i="2" s="1"/>
  <c r="P208" i="2"/>
  <c r="Z208" i="2" s="1"/>
  <c r="P207" i="2"/>
  <c r="Z207" i="2" s="1"/>
  <c r="P206" i="2"/>
  <c r="Z206" i="2" s="1"/>
  <c r="P205" i="2"/>
  <c r="X205" i="2" s="1"/>
  <c r="P204" i="2"/>
  <c r="Z204" i="2" s="1"/>
  <c r="P203" i="2"/>
  <c r="Z203" i="2" s="1"/>
  <c r="P202" i="2"/>
  <c r="X202" i="2" s="1"/>
  <c r="P201" i="2"/>
  <c r="Z201" i="2" s="1"/>
  <c r="P200" i="2"/>
  <c r="X200" i="2" s="1"/>
  <c r="P199" i="2"/>
  <c r="R199" i="2" s="1"/>
  <c r="P198" i="2"/>
  <c r="X198" i="2" s="1"/>
  <c r="P197" i="2"/>
  <c r="Z197" i="2" s="1"/>
  <c r="P196" i="2"/>
  <c r="Z196" i="2" s="1"/>
  <c r="P195" i="2"/>
  <c r="Z195" i="2" s="1"/>
  <c r="P194" i="2"/>
  <c r="X194" i="2" s="1"/>
  <c r="P193" i="2"/>
  <c r="Z193" i="2" s="1"/>
  <c r="P192" i="2"/>
  <c r="R192" i="2" s="1"/>
  <c r="P191" i="2"/>
  <c r="R191" i="2" s="1"/>
  <c r="P190" i="2"/>
  <c r="X190" i="2" s="1"/>
  <c r="P189" i="2"/>
  <c r="Z189" i="2" s="1"/>
  <c r="P188" i="2"/>
  <c r="Z188" i="2" s="1"/>
  <c r="P187" i="2"/>
  <c r="Z187" i="2" s="1"/>
  <c r="Z456" i="2" l="1"/>
  <c r="R469" i="2"/>
  <c r="X469" i="2"/>
  <c r="Z450" i="2"/>
  <c r="Z492" i="2"/>
  <c r="X488" i="2"/>
  <c r="Z482" i="2"/>
  <c r="X440" i="2"/>
  <c r="Z466" i="2"/>
  <c r="R477" i="2"/>
  <c r="R485" i="2"/>
  <c r="R446" i="2"/>
  <c r="X477" i="2"/>
  <c r="X493" i="2"/>
  <c r="Z453" i="2"/>
  <c r="R468" i="2"/>
  <c r="X471" i="2"/>
  <c r="R443" i="2"/>
  <c r="Z471" i="2"/>
  <c r="X479" i="2"/>
  <c r="R484" i="2"/>
  <c r="X487" i="2"/>
  <c r="Z443" i="2"/>
  <c r="Z468" i="2"/>
  <c r="X476" i="2"/>
  <c r="Z479" i="2"/>
  <c r="X484" i="2"/>
  <c r="Z487" i="2"/>
  <c r="R492" i="2"/>
  <c r="X495" i="2"/>
  <c r="Z474" i="2"/>
  <c r="X485" i="2"/>
  <c r="R493" i="2"/>
  <c r="Z446" i="2"/>
  <c r="Z490" i="2"/>
  <c r="X463" i="2"/>
  <c r="Z463" i="2"/>
  <c r="R476" i="2"/>
  <c r="X472" i="2"/>
  <c r="Z495" i="2"/>
  <c r="R489" i="2"/>
  <c r="X465" i="2"/>
  <c r="R470" i="2"/>
  <c r="X473" i="2"/>
  <c r="R478" i="2"/>
  <c r="X489" i="2"/>
  <c r="Z465" i="2"/>
  <c r="R467" i="2"/>
  <c r="X470" i="2"/>
  <c r="Z473" i="2"/>
  <c r="R475" i="2"/>
  <c r="X478" i="2"/>
  <c r="Z481" i="2"/>
  <c r="R483" i="2"/>
  <c r="X486" i="2"/>
  <c r="R491" i="2"/>
  <c r="X494" i="2"/>
  <c r="R464" i="2"/>
  <c r="X467" i="2"/>
  <c r="R472" i="2"/>
  <c r="X475" i="2"/>
  <c r="R480" i="2"/>
  <c r="X483" i="2"/>
  <c r="Z486" i="2"/>
  <c r="R488" i="2"/>
  <c r="X491" i="2"/>
  <c r="Z494" i="2"/>
  <c r="R496" i="2"/>
  <c r="X481" i="2"/>
  <c r="AA481" i="2" s="1"/>
  <c r="X464" i="2"/>
  <c r="X480" i="2"/>
  <c r="X496" i="2"/>
  <c r="R466" i="2"/>
  <c r="R474" i="2"/>
  <c r="R482" i="2"/>
  <c r="R490" i="2"/>
  <c r="R460" i="2"/>
  <c r="R454" i="2"/>
  <c r="X437" i="2"/>
  <c r="Z445" i="2"/>
  <c r="Z448" i="2"/>
  <c r="R452" i="2"/>
  <c r="X454" i="2"/>
  <c r="X438" i="2"/>
  <c r="R439" i="2"/>
  <c r="Z452" i="2"/>
  <c r="R458" i="2"/>
  <c r="R461" i="2"/>
  <c r="Z438" i="2"/>
  <c r="R445" i="2"/>
  <c r="Z460" i="2"/>
  <c r="X439" i="2"/>
  <c r="X458" i="2"/>
  <c r="R450" i="2"/>
  <c r="R453" i="2"/>
  <c r="X455" i="2"/>
  <c r="X462" i="2"/>
  <c r="X447" i="2"/>
  <c r="Z441" i="2"/>
  <c r="X457" i="2"/>
  <c r="X461" i="2"/>
  <c r="R440" i="2"/>
  <c r="R447" i="2"/>
  <c r="R455" i="2"/>
  <c r="R442" i="2"/>
  <c r="R449" i="2"/>
  <c r="R457" i="2"/>
  <c r="R462" i="2"/>
  <c r="X442" i="2"/>
  <c r="X449" i="2"/>
  <c r="R444" i="2"/>
  <c r="R451" i="2"/>
  <c r="R459" i="2"/>
  <c r="R441" i="2"/>
  <c r="X444" i="2"/>
  <c r="R448" i="2"/>
  <c r="X451" i="2"/>
  <c r="R456" i="2"/>
  <c r="X459" i="2"/>
  <c r="Z402" i="2"/>
  <c r="Z426" i="2"/>
  <c r="X402" i="2"/>
  <c r="Z409" i="2"/>
  <c r="Z398" i="2"/>
  <c r="R422" i="2"/>
  <c r="R410" i="2"/>
  <c r="X430" i="2"/>
  <c r="Z430" i="2"/>
  <c r="X398" i="2"/>
  <c r="R433" i="2"/>
  <c r="X422" i="2"/>
  <c r="Z433" i="2"/>
  <c r="X410" i="2"/>
  <c r="Z412" i="2"/>
  <c r="R406" i="2"/>
  <c r="X417" i="2"/>
  <c r="R420" i="2"/>
  <c r="X406" i="2"/>
  <c r="Z417" i="2"/>
  <c r="Z420" i="2"/>
  <c r="R396" i="2"/>
  <c r="R414" i="2"/>
  <c r="X425" i="2"/>
  <c r="R428" i="2"/>
  <c r="R431" i="2"/>
  <c r="Z396" i="2"/>
  <c r="X414" i="2"/>
  <c r="R418" i="2"/>
  <c r="Z425" i="2"/>
  <c r="Z428" i="2"/>
  <c r="X431" i="2"/>
  <c r="R435" i="2"/>
  <c r="X401" i="2"/>
  <c r="R404" i="2"/>
  <c r="X418" i="2"/>
  <c r="Z435" i="2"/>
  <c r="Z401" i="2"/>
  <c r="Z404" i="2"/>
  <c r="R426" i="2"/>
  <c r="X409" i="2"/>
  <c r="R412" i="2"/>
  <c r="X436" i="2"/>
  <c r="R403" i="2"/>
  <c r="R411" i="2"/>
  <c r="R432" i="2"/>
  <c r="R400" i="2"/>
  <c r="X411" i="2"/>
  <c r="R416" i="2"/>
  <c r="X419" i="2"/>
  <c r="X397" i="2"/>
  <c r="Z400" i="2"/>
  <c r="X413" i="2"/>
  <c r="X399" i="2"/>
  <c r="X407" i="2"/>
  <c r="X415" i="2"/>
  <c r="X423" i="2"/>
  <c r="Z399" i="2"/>
  <c r="Z407" i="2"/>
  <c r="Z415" i="2"/>
  <c r="Z423" i="2"/>
  <c r="Z436" i="2"/>
  <c r="R437" i="2"/>
  <c r="R419" i="2"/>
  <c r="R408" i="2"/>
  <c r="R424" i="2"/>
  <c r="X432" i="2"/>
  <c r="R397" i="2"/>
  <c r="Z403" i="2"/>
  <c r="R405" i="2"/>
  <c r="X408" i="2"/>
  <c r="R413" i="2"/>
  <c r="X416" i="2"/>
  <c r="R421" i="2"/>
  <c r="X424" i="2"/>
  <c r="Z427" i="2"/>
  <c r="R429" i="2"/>
  <c r="R434" i="2"/>
  <c r="R427" i="2"/>
  <c r="X405" i="2"/>
  <c r="X421" i="2"/>
  <c r="X429" i="2"/>
  <c r="X434" i="2"/>
  <c r="X385" i="2"/>
  <c r="Z385" i="2"/>
  <c r="R388" i="2"/>
  <c r="X388" i="2"/>
  <c r="Z369" i="2"/>
  <c r="Z354" i="2"/>
  <c r="R366" i="2"/>
  <c r="Z375" i="2"/>
  <c r="X359" i="2"/>
  <c r="R386" i="2"/>
  <c r="Z359" i="2"/>
  <c r="Z393" i="2"/>
  <c r="R378" i="2"/>
  <c r="R351" i="2"/>
  <c r="Z378" i="2"/>
  <c r="X351" i="2"/>
  <c r="Z367" i="2"/>
  <c r="X383" i="2"/>
  <c r="X393" i="2"/>
  <c r="R364" i="2"/>
  <c r="R372" i="2"/>
  <c r="Z383" i="2"/>
  <c r="Z386" i="2"/>
  <c r="X356" i="2"/>
  <c r="X364" i="2"/>
  <c r="X372" i="2"/>
  <c r="R377" i="2"/>
  <c r="R380" i="2"/>
  <c r="Z356" i="2"/>
  <c r="R369" i="2"/>
  <c r="X377" i="2"/>
  <c r="X380" i="2"/>
  <c r="R387" i="2"/>
  <c r="X391" i="2"/>
  <c r="R394" i="2"/>
  <c r="Z362" i="2"/>
  <c r="R353" i="2"/>
  <c r="R361" i="2"/>
  <c r="Z391" i="2"/>
  <c r="X361" i="2"/>
  <c r="R355" i="2"/>
  <c r="Z352" i="2"/>
  <c r="R354" i="2"/>
  <c r="X357" i="2"/>
  <c r="Z360" i="2"/>
  <c r="R362" i="2"/>
  <c r="X365" i="2"/>
  <c r="R367" i="2"/>
  <c r="X370" i="2"/>
  <c r="Z373" i="2"/>
  <c r="R375" i="2"/>
  <c r="Z381" i="2"/>
  <c r="Z389" i="2"/>
  <c r="X394" i="2"/>
  <c r="X366" i="2"/>
  <c r="R352" i="2"/>
  <c r="X355" i="2"/>
  <c r="Z358" i="2"/>
  <c r="R360" i="2"/>
  <c r="Z357" i="2"/>
  <c r="Z365" i="2"/>
  <c r="Z370" i="2"/>
  <c r="R374" i="2"/>
  <c r="R382" i="2"/>
  <c r="R390" i="2"/>
  <c r="R371" i="2"/>
  <c r="X374" i="2"/>
  <c r="R379" i="2"/>
  <c r="X382" i="2"/>
  <c r="X390" i="2"/>
  <c r="R395" i="2"/>
  <c r="X353" i="2"/>
  <c r="X358" i="2"/>
  <c r="R363" i="2"/>
  <c r="R368" i="2"/>
  <c r="X371" i="2"/>
  <c r="R376" i="2"/>
  <c r="X379" i="2"/>
  <c r="R384" i="2"/>
  <c r="X387" i="2"/>
  <c r="R392" i="2"/>
  <c r="X395" i="2"/>
  <c r="R373" i="2"/>
  <c r="X376" i="2"/>
  <c r="R381" i="2"/>
  <c r="X384" i="2"/>
  <c r="R389" i="2"/>
  <c r="X392" i="2"/>
  <c r="X363" i="2"/>
  <c r="X368" i="2"/>
  <c r="Z336" i="2"/>
  <c r="Z320" i="2"/>
  <c r="Z313" i="2"/>
  <c r="R320" i="2"/>
  <c r="X330" i="2"/>
  <c r="Z339" i="2"/>
  <c r="R296" i="2"/>
  <c r="Z334" i="2"/>
  <c r="X296" i="2"/>
  <c r="Z332" i="2"/>
  <c r="Z347" i="2"/>
  <c r="Z326" i="2"/>
  <c r="X291" i="2"/>
  <c r="X323" i="2"/>
  <c r="X334" i="2"/>
  <c r="X342" i="2"/>
  <c r="R331" i="2"/>
  <c r="R341" i="2"/>
  <c r="Z344" i="2"/>
  <c r="R293" i="2"/>
  <c r="Z317" i="2"/>
  <c r="X325" i="2"/>
  <c r="R333" i="2"/>
  <c r="R335" i="2"/>
  <c r="Z341" i="2"/>
  <c r="R349" i="2"/>
  <c r="Z293" i="2"/>
  <c r="X306" i="2"/>
  <c r="X314" i="2"/>
  <c r="R322" i="2"/>
  <c r="Z325" i="2"/>
  <c r="Z333" i="2"/>
  <c r="X335" i="2"/>
  <c r="Z345" i="2"/>
  <c r="X349" i="2"/>
  <c r="R328" i="2"/>
  <c r="Z328" i="2"/>
  <c r="X331" i="2"/>
  <c r="Z337" i="2"/>
  <c r="Z281" i="2"/>
  <c r="R314" i="2"/>
  <c r="Z306" i="2"/>
  <c r="Z318" i="2"/>
  <c r="X322" i="2"/>
  <c r="R330" i="2"/>
  <c r="R339" i="2"/>
  <c r="R342" i="2"/>
  <c r="R287" i="2"/>
  <c r="X317" i="2"/>
  <c r="X344" i="2"/>
  <c r="Z287" i="2"/>
  <c r="R313" i="2"/>
  <c r="X315" i="2"/>
  <c r="X336" i="2"/>
  <c r="R347" i="2"/>
  <c r="X350" i="2"/>
  <c r="R346" i="2"/>
  <c r="R343" i="2"/>
  <c r="Z312" i="2"/>
  <c r="R321" i="2"/>
  <c r="X324" i="2"/>
  <c r="Z327" i="2"/>
  <c r="R340" i="2"/>
  <c r="X343" i="2"/>
  <c r="Z346" i="2"/>
  <c r="Z316" i="2"/>
  <c r="R318" i="2"/>
  <c r="X321" i="2"/>
  <c r="Z324" i="2"/>
  <c r="R326" i="2"/>
  <c r="X329" i="2"/>
  <c r="R332" i="2"/>
  <c r="R337" i="2"/>
  <c r="X340" i="2"/>
  <c r="R345" i="2"/>
  <c r="X348" i="2"/>
  <c r="R319" i="2"/>
  <c r="R327" i="2"/>
  <c r="X312" i="2"/>
  <c r="R316" i="2"/>
  <c r="X338" i="2"/>
  <c r="Z319" i="2"/>
  <c r="R329" i="2"/>
  <c r="Z338" i="2"/>
  <c r="R348" i="2"/>
  <c r="R315" i="2"/>
  <c r="R323" i="2"/>
  <c r="R350" i="2"/>
  <c r="Z302" i="2"/>
  <c r="X307" i="2"/>
  <c r="Z285" i="2"/>
  <c r="X298" i="2"/>
  <c r="R295" i="2"/>
  <c r="Z298" i="2"/>
  <c r="Z291" i="2"/>
  <c r="X295" i="2"/>
  <c r="X299" i="2"/>
  <c r="X281" i="2"/>
  <c r="X285" i="2"/>
  <c r="X304" i="2"/>
  <c r="Z309" i="2"/>
  <c r="R282" i="2"/>
  <c r="R303" i="2"/>
  <c r="R310" i="2"/>
  <c r="X282" i="2"/>
  <c r="X303" i="2"/>
  <c r="Z310" i="2"/>
  <c r="R311" i="2"/>
  <c r="Z301" i="2"/>
  <c r="R304" i="2"/>
  <c r="X311" i="2"/>
  <c r="R297" i="2"/>
  <c r="X300" i="2"/>
  <c r="X283" i="2"/>
  <c r="Z286" i="2"/>
  <c r="R288" i="2"/>
  <c r="X289" i="2"/>
  <c r="Z292" i="2"/>
  <c r="R294" i="2"/>
  <c r="X297" i="2"/>
  <c r="Z300" i="2"/>
  <c r="R302" i="2"/>
  <c r="X305" i="2"/>
  <c r="Z308" i="2"/>
  <c r="Z283" i="2"/>
  <c r="X288" i="2"/>
  <c r="Z289" i="2"/>
  <c r="X294" i="2"/>
  <c r="R299" i="2"/>
  <c r="Z305" i="2"/>
  <c r="R307" i="2"/>
  <c r="Z284" i="2"/>
  <c r="Z290" i="2"/>
  <c r="X292" i="2"/>
  <c r="R309" i="2"/>
  <c r="R301" i="2"/>
  <c r="R284" i="2"/>
  <c r="R290" i="2"/>
  <c r="R308" i="2"/>
  <c r="R286" i="2"/>
  <c r="R280" i="2"/>
  <c r="X280" i="2"/>
  <c r="R270" i="2"/>
  <c r="Z261" i="2"/>
  <c r="X277" i="2"/>
  <c r="Z277" i="2"/>
  <c r="Z245" i="2"/>
  <c r="Z273" i="2"/>
  <c r="X192" i="2"/>
  <c r="R242" i="2"/>
  <c r="X242" i="2"/>
  <c r="Z266" i="2"/>
  <c r="X258" i="2"/>
  <c r="R263" i="2"/>
  <c r="Z270" i="2"/>
  <c r="Z258" i="2"/>
  <c r="R255" i="2"/>
  <c r="Z263" i="2"/>
  <c r="X279" i="2"/>
  <c r="Z240" i="2"/>
  <c r="Z250" i="2"/>
  <c r="X255" i="2"/>
  <c r="Z279" i="2"/>
  <c r="X266" i="2"/>
  <c r="Z253" i="2"/>
  <c r="Z275" i="2"/>
  <c r="X250" i="2"/>
  <c r="X245" i="2"/>
  <c r="X273" i="2"/>
  <c r="R268" i="2"/>
  <c r="Z247" i="2"/>
  <c r="Z260" i="2"/>
  <c r="X265" i="2"/>
  <c r="R269" i="2"/>
  <c r="R251" i="2"/>
  <c r="X262" i="2"/>
  <c r="R267" i="2"/>
  <c r="Z272" i="2"/>
  <c r="Z241" i="2"/>
  <c r="R243" i="2"/>
  <c r="X246" i="2"/>
  <c r="R248" i="2"/>
  <c r="X251" i="2"/>
  <c r="Z254" i="2"/>
  <c r="R256" i="2"/>
  <c r="X259" i="2"/>
  <c r="Z262" i="2"/>
  <c r="R264" i="2"/>
  <c r="X267" i="2"/>
  <c r="Z269" i="2"/>
  <c r="R271" i="2"/>
  <c r="X274" i="2"/>
  <c r="Z276" i="2"/>
  <c r="R278" i="2"/>
  <c r="R247" i="2"/>
  <c r="R260" i="2"/>
  <c r="X268" i="2"/>
  <c r="Z252" i="2"/>
  <c r="X257" i="2"/>
  <c r="X241" i="2"/>
  <c r="R246" i="2"/>
  <c r="Z249" i="2"/>
  <c r="X254" i="2"/>
  <c r="R259" i="2"/>
  <c r="R240" i="2"/>
  <c r="X243" i="2"/>
  <c r="X248" i="2"/>
  <c r="R253" i="2"/>
  <c r="X256" i="2"/>
  <c r="R261" i="2"/>
  <c r="X264" i="2"/>
  <c r="X271" i="2"/>
  <c r="Z274" i="2"/>
  <c r="R275" i="2"/>
  <c r="X278" i="2"/>
  <c r="R252" i="2"/>
  <c r="R244" i="2"/>
  <c r="R249" i="2"/>
  <c r="R257" i="2"/>
  <c r="R265" i="2"/>
  <c r="R272" i="2"/>
  <c r="X244" i="2"/>
  <c r="R276" i="2"/>
  <c r="R198" i="2"/>
  <c r="Z192" i="2"/>
  <c r="R202" i="2"/>
  <c r="Z202" i="2"/>
  <c r="X218" i="2"/>
  <c r="R222" i="2"/>
  <c r="Z212" i="2"/>
  <c r="Z218" i="2"/>
  <c r="R212" i="2"/>
  <c r="R209" i="2"/>
  <c r="R226" i="2"/>
  <c r="X232" i="2"/>
  <c r="Z226" i="2"/>
  <c r="Z232" i="2"/>
  <c r="R207" i="2"/>
  <c r="R190" i="2"/>
  <c r="R205" i="2"/>
  <c r="R200" i="2"/>
  <c r="R211" i="2"/>
  <c r="Z220" i="2"/>
  <c r="X224" i="2"/>
  <c r="R188" i="2"/>
  <c r="X191" i="2"/>
  <c r="Z194" i="2"/>
  <c r="Z200" i="2"/>
  <c r="Z211" i="2"/>
  <c r="R214" i="2"/>
  <c r="X217" i="2"/>
  <c r="Z224" i="2"/>
  <c r="R228" i="2"/>
  <c r="X231" i="2"/>
  <c r="Z237" i="2"/>
  <c r="R220" i="2"/>
  <c r="X223" i="2"/>
  <c r="R235" i="2"/>
  <c r="X196" i="2"/>
  <c r="R216" i="2"/>
  <c r="X235" i="2"/>
  <c r="Z190" i="2"/>
  <c r="Z205" i="2"/>
  <c r="R194" i="2"/>
  <c r="X188" i="2"/>
  <c r="X214" i="2"/>
  <c r="X228" i="2"/>
  <c r="R196" i="2"/>
  <c r="X199" i="2"/>
  <c r="X210" i="2"/>
  <c r="X207" i="2"/>
  <c r="R230" i="2"/>
  <c r="X187" i="2"/>
  <c r="X203" i="2"/>
  <c r="X213" i="2"/>
  <c r="Z216" i="2"/>
  <c r="X227" i="2"/>
  <c r="Z230" i="2"/>
  <c r="X195" i="2"/>
  <c r="Z198" i="2"/>
  <c r="X206" i="2"/>
  <c r="Z209" i="2"/>
  <c r="Z222" i="2"/>
  <c r="X234" i="2"/>
  <c r="X238" i="2"/>
  <c r="Z191" i="2"/>
  <c r="R193" i="2"/>
  <c r="Z199" i="2"/>
  <c r="R201" i="2"/>
  <c r="Z210" i="2"/>
  <c r="Z217" i="2"/>
  <c r="R219" i="2"/>
  <c r="Z223" i="2"/>
  <c r="R225" i="2"/>
  <c r="Z231" i="2"/>
  <c r="R233" i="2"/>
  <c r="Z238" i="2"/>
  <c r="X193" i="2"/>
  <c r="X219" i="2"/>
  <c r="R237" i="2"/>
  <c r="X201" i="2"/>
  <c r="X225" i="2"/>
  <c r="X233" i="2"/>
  <c r="R187" i="2"/>
  <c r="R195" i="2"/>
  <c r="R203" i="2"/>
  <c r="R206" i="2"/>
  <c r="R213" i="2"/>
  <c r="R227" i="2"/>
  <c r="R234" i="2"/>
  <c r="R239" i="2"/>
  <c r="R189" i="2"/>
  <c r="R197" i="2"/>
  <c r="R204" i="2"/>
  <c r="R208" i="2"/>
  <c r="R215" i="2"/>
  <c r="R221" i="2"/>
  <c r="R229" i="2"/>
  <c r="R236" i="2"/>
  <c r="X239" i="2"/>
  <c r="X189" i="2"/>
  <c r="X215" i="2"/>
  <c r="X221" i="2"/>
  <c r="X229" i="2"/>
  <c r="X236" i="2"/>
  <c r="X197" i="2"/>
  <c r="X204" i="2"/>
  <c r="X208" i="2"/>
  <c r="AA409" i="2" l="1"/>
  <c r="AA357" i="2"/>
  <c r="AA458" i="2"/>
  <c r="AA490" i="2"/>
  <c r="AA479" i="2"/>
  <c r="AA446" i="2"/>
  <c r="AA447" i="2"/>
  <c r="AA456" i="2"/>
  <c r="AA450" i="2"/>
  <c r="AA469" i="2"/>
  <c r="AA402" i="2"/>
  <c r="AA453" i="2"/>
  <c r="AA495" i="2"/>
  <c r="AA487" i="2"/>
  <c r="AA492" i="2"/>
  <c r="AA455" i="2"/>
  <c r="AA482" i="2"/>
  <c r="AA463" i="2"/>
  <c r="AA460" i="2"/>
  <c r="AA493" i="2"/>
  <c r="AA471" i="2"/>
  <c r="AA472" i="2"/>
  <c r="AA476" i="2"/>
  <c r="AA475" i="2"/>
  <c r="AA435" i="2"/>
  <c r="AA412" i="2"/>
  <c r="AA484" i="2"/>
  <c r="AA466" i="2"/>
  <c r="AA488" i="2"/>
  <c r="AA489" i="2"/>
  <c r="AA440" i="2"/>
  <c r="AA445" i="2"/>
  <c r="AA485" i="2"/>
  <c r="AA461" i="2"/>
  <c r="AA438" i="2"/>
  <c r="AA486" i="2"/>
  <c r="AA443" i="2"/>
  <c r="AA477" i="2"/>
  <c r="AA470" i="2"/>
  <c r="AA404" i="2"/>
  <c r="AA398" i="2"/>
  <c r="AA474" i="2"/>
  <c r="AA464" i="2"/>
  <c r="AA465" i="2"/>
  <c r="AA426" i="2"/>
  <c r="AA462" i="2"/>
  <c r="AA454" i="2"/>
  <c r="AA437" i="2"/>
  <c r="AA452" i="2"/>
  <c r="AA441" i="2"/>
  <c r="AA468" i="2"/>
  <c r="AA388" i="2"/>
  <c r="AA473" i="2"/>
  <c r="AA494" i="2"/>
  <c r="AA480" i="2"/>
  <c r="AA483" i="2"/>
  <c r="AA478" i="2"/>
  <c r="AA491" i="2"/>
  <c r="AA467" i="2"/>
  <c r="AA496" i="2"/>
  <c r="AA448" i="2"/>
  <c r="AA457" i="2"/>
  <c r="AA439" i="2"/>
  <c r="AA428" i="2"/>
  <c r="AA430" i="2"/>
  <c r="AA396" i="2"/>
  <c r="AA451" i="2"/>
  <c r="AA422" i="2"/>
  <c r="AA444" i="2"/>
  <c r="AA449" i="2"/>
  <c r="AA459" i="2"/>
  <c r="AA442" i="2"/>
  <c r="AA373" i="2"/>
  <c r="AA368" i="2"/>
  <c r="AA410" i="2"/>
  <c r="AA429" i="2"/>
  <c r="AA420" i="2"/>
  <c r="AA433" i="2"/>
  <c r="AA354" i="2"/>
  <c r="AA385" i="2"/>
  <c r="AA417" i="2"/>
  <c r="AA369" i="2"/>
  <c r="AA401" i="2"/>
  <c r="AA418" i="2"/>
  <c r="AA378" i="2"/>
  <c r="AA414" i="2"/>
  <c r="AA425" i="2"/>
  <c r="AA363" i="2"/>
  <c r="AA358" i="2"/>
  <c r="AA393" i="2"/>
  <c r="AA372" i="2"/>
  <c r="AA413" i="2"/>
  <c r="AA415" i="2"/>
  <c r="AA356" i="2"/>
  <c r="AA351" i="2"/>
  <c r="AA427" i="2"/>
  <c r="AA407" i="2"/>
  <c r="AA400" i="2"/>
  <c r="AA406" i="2"/>
  <c r="AA362" i="2"/>
  <c r="AA419" i="2"/>
  <c r="AA434" i="2"/>
  <c r="AA405" i="2"/>
  <c r="AA436" i="2"/>
  <c r="AA313" i="2"/>
  <c r="AA399" i="2"/>
  <c r="AA431" i="2"/>
  <c r="AA391" i="2"/>
  <c r="AA383" i="2"/>
  <c r="AA386" i="2"/>
  <c r="AA408" i="2"/>
  <c r="AA423" i="2"/>
  <c r="AA416" i="2"/>
  <c r="AA432" i="2"/>
  <c r="AA397" i="2"/>
  <c r="AA421" i="2"/>
  <c r="AA411" i="2"/>
  <c r="AA424" i="2"/>
  <c r="AA403" i="2"/>
  <c r="AA376" i="2"/>
  <c r="AA353" i="2"/>
  <c r="AA375" i="2"/>
  <c r="AA292" i="2"/>
  <c r="AA366" i="2"/>
  <c r="AA377" i="2"/>
  <c r="AA359" i="2"/>
  <c r="AA306" i="2"/>
  <c r="AA320" i="2"/>
  <c r="AA387" i="2"/>
  <c r="AA367" i="2"/>
  <c r="AA361" i="2"/>
  <c r="AA380" i="2"/>
  <c r="AA364" i="2"/>
  <c r="AA365" i="2"/>
  <c r="AA394" i="2"/>
  <c r="AA287" i="2"/>
  <c r="AA379" i="2"/>
  <c r="AA371" i="2"/>
  <c r="AA390" i="2"/>
  <c r="AA384" i="2"/>
  <c r="AA382" i="2"/>
  <c r="AA370" i="2"/>
  <c r="AA392" i="2"/>
  <c r="AA360" i="2"/>
  <c r="AA381" i="2"/>
  <c r="AA355" i="2"/>
  <c r="AA389" i="2"/>
  <c r="AA395" i="2"/>
  <c r="AA374" i="2"/>
  <c r="AA352" i="2"/>
  <c r="AA336" i="2"/>
  <c r="AA325" i="2"/>
  <c r="AA339" i="2"/>
  <c r="AA316" i="2"/>
  <c r="AA342" i="2"/>
  <c r="AA333" i="2"/>
  <c r="AA334" i="2"/>
  <c r="AA330" i="2"/>
  <c r="AA261" i="2"/>
  <c r="AA307" i="2"/>
  <c r="AA310" i="2"/>
  <c r="AA347" i="2"/>
  <c r="AA302" i="2"/>
  <c r="AA323" i="2"/>
  <c r="AA317" i="2"/>
  <c r="AA331" i="2"/>
  <c r="AA296" i="2"/>
  <c r="AA326" i="2"/>
  <c r="AA299" i="2"/>
  <c r="AA335" i="2"/>
  <c r="AA337" i="2"/>
  <c r="AA291" i="2"/>
  <c r="AA318" i="2"/>
  <c r="AA321" i="2"/>
  <c r="AA295" i="2"/>
  <c r="AA328" i="2"/>
  <c r="AA344" i="2"/>
  <c r="AA298" i="2"/>
  <c r="AA327" i="2"/>
  <c r="AA332" i="2"/>
  <c r="AA343" i="2"/>
  <c r="AA322" i="2"/>
  <c r="AA293" i="2"/>
  <c r="AA350" i="2"/>
  <c r="AA338" i="2"/>
  <c r="AA314" i="2"/>
  <c r="AA341" i="2"/>
  <c r="AA304" i="2"/>
  <c r="AA282" i="2"/>
  <c r="AA285" i="2"/>
  <c r="AA345" i="2"/>
  <c r="AA349" i="2"/>
  <c r="AA281" i="2"/>
  <c r="AA315" i="2"/>
  <c r="AA324" i="2"/>
  <c r="AA312" i="2"/>
  <c r="AA311" i="2"/>
  <c r="AA346" i="2"/>
  <c r="AA340" i="2"/>
  <c r="AA319" i="2"/>
  <c r="AA348" i="2"/>
  <c r="AA329" i="2"/>
  <c r="AA289" i="2"/>
  <c r="AA290" i="2"/>
  <c r="AA283" i="2"/>
  <c r="AA284" i="2"/>
  <c r="AA300" i="2"/>
  <c r="AA301" i="2"/>
  <c r="AA309" i="2"/>
  <c r="AA303" i="2"/>
  <c r="AA308" i="2"/>
  <c r="AA305" i="2"/>
  <c r="AA297" i="2"/>
  <c r="AA294" i="2"/>
  <c r="AA286" i="2"/>
  <c r="AA288" i="2"/>
  <c r="AA280" i="2"/>
  <c r="AA255" i="2"/>
  <c r="AA202" i="2"/>
  <c r="AA277" i="2"/>
  <c r="AA192" i="2"/>
  <c r="AA272" i="2"/>
  <c r="AA270" i="2"/>
  <c r="AA276" i="2"/>
  <c r="AA275" i="2"/>
  <c r="AA197" i="2"/>
  <c r="AA241" i="2"/>
  <c r="AA198" i="2"/>
  <c r="AA247" i="2"/>
  <c r="AA268" i="2"/>
  <c r="AA243" i="2"/>
  <c r="AA273" i="2"/>
  <c r="AA205" i="2"/>
  <c r="AA262" i="2"/>
  <c r="AA245" i="2"/>
  <c r="AA252" i="2"/>
  <c r="AA250" i="2"/>
  <c r="AA263" i="2"/>
  <c r="AA269" i="2"/>
  <c r="AA235" i="2"/>
  <c r="AA258" i="2"/>
  <c r="AA279" i="2"/>
  <c r="AA244" i="2"/>
  <c r="AA254" i="2"/>
  <c r="AA266" i="2"/>
  <c r="AA264" i="2"/>
  <c r="AA253" i="2"/>
  <c r="AA274" i="2"/>
  <c r="AA267" i="2"/>
  <c r="AA242" i="2"/>
  <c r="AA240" i="2"/>
  <c r="AA256" i="2"/>
  <c r="AA265" i="2"/>
  <c r="AA246" i="2"/>
  <c r="AA278" i="2"/>
  <c r="AA271" i="2"/>
  <c r="AA257" i="2"/>
  <c r="AA248" i="2"/>
  <c r="AA249" i="2"/>
  <c r="AA259" i="2"/>
  <c r="AA260" i="2"/>
  <c r="AA251" i="2"/>
  <c r="AA200" i="2"/>
  <c r="AA212" i="2"/>
  <c r="AA194" i="2"/>
  <c r="AA193" i="2"/>
  <c r="AA217" i="2"/>
  <c r="AA209" i="2"/>
  <c r="AA216" i="2"/>
  <c r="AA191" i="2"/>
  <c r="AA218" i="2"/>
  <c r="AA232" i="2"/>
  <c r="AA222" i="2"/>
  <c r="AA230" i="2"/>
  <c r="AA210" i="2"/>
  <c r="AA190" i="2"/>
  <c r="AA226" i="2"/>
  <c r="AA227" i="2"/>
  <c r="AA204" i="2"/>
  <c r="AA223" i="2"/>
  <c r="AA203" i="2"/>
  <c r="AA224" i="2"/>
  <c r="AA213" i="2"/>
  <c r="AA219" i="2"/>
  <c r="AA234" i="2"/>
  <c r="AA221" i="2"/>
  <c r="AA196" i="2"/>
  <c r="AA231" i="2"/>
  <c r="AA237" i="2"/>
  <c r="AA206" i="2"/>
  <c r="AA236" i="2"/>
  <c r="AA187" i="2"/>
  <c r="AA238" i="2"/>
  <c r="AA207" i="2"/>
  <c r="AA211" i="2"/>
  <c r="AA199" i="2"/>
  <c r="AA228" i="2"/>
  <c r="AA195" i="2"/>
  <c r="AA229" i="2"/>
  <c r="AA220" i="2"/>
  <c r="AA214" i="2"/>
  <c r="AA188" i="2"/>
  <c r="AA239" i="2"/>
  <c r="AA215" i="2"/>
  <c r="AA189" i="2"/>
  <c r="AA233" i="2"/>
  <c r="AA208" i="2"/>
  <c r="AA225" i="2"/>
  <c r="AA201" i="2"/>
  <c r="P186" i="2" l="1"/>
  <c r="Z186" i="2" s="1"/>
  <c r="P185" i="2"/>
  <c r="R185" i="2" s="1"/>
  <c r="P184" i="2"/>
  <c r="Z184" i="2" s="1"/>
  <c r="P183" i="2"/>
  <c r="R183" i="2" s="1"/>
  <c r="P182" i="2"/>
  <c r="Z182" i="2" s="1"/>
  <c r="P181" i="2"/>
  <c r="R181" i="2" s="1"/>
  <c r="P180" i="2"/>
  <c r="R180" i="2" s="1"/>
  <c r="P179" i="2"/>
  <c r="R179" i="2" s="1"/>
  <c r="P178" i="2"/>
  <c r="Z178" i="2" s="1"/>
  <c r="P177" i="2"/>
  <c r="X177" i="2" s="1"/>
  <c r="P176" i="2"/>
  <c r="Z176" i="2" s="1"/>
  <c r="P175" i="2"/>
  <c r="Z175" i="2" s="1"/>
  <c r="P174" i="2"/>
  <c r="Z174" i="2" s="1"/>
  <c r="P173" i="2"/>
  <c r="R173" i="2" s="1"/>
  <c r="P172" i="2"/>
  <c r="Z172" i="2" s="1"/>
  <c r="P171" i="2"/>
  <c r="Z171" i="2" s="1"/>
  <c r="P170" i="2"/>
  <c r="Z170" i="2" s="1"/>
  <c r="P169" i="2"/>
  <c r="Z169" i="2" s="1"/>
  <c r="P168" i="2"/>
  <c r="X168" i="2" s="1"/>
  <c r="P167" i="2"/>
  <c r="Z167" i="2" s="1"/>
  <c r="P166" i="2"/>
  <c r="Z166" i="2" s="1"/>
  <c r="P165" i="2"/>
  <c r="R165" i="2" s="1"/>
  <c r="P164" i="2"/>
  <c r="Z164" i="2" s="1"/>
  <c r="P163" i="2"/>
  <c r="Z163" i="2" s="1"/>
  <c r="P162" i="2"/>
  <c r="Z162" i="2" s="1"/>
  <c r="P161" i="2"/>
  <c r="Z161" i="2" s="1"/>
  <c r="P160" i="2"/>
  <c r="X160" i="2" s="1"/>
  <c r="P159" i="2"/>
  <c r="Z159" i="2" s="1"/>
  <c r="P158" i="2"/>
  <c r="Z158" i="2" s="1"/>
  <c r="P157" i="2"/>
  <c r="R157" i="2" s="1"/>
  <c r="P156" i="2"/>
  <c r="Z156" i="2" s="1"/>
  <c r="P155" i="2"/>
  <c r="Z155" i="2" s="1"/>
  <c r="P154" i="2"/>
  <c r="Z154" i="2" s="1"/>
  <c r="P153" i="2"/>
  <c r="Z153" i="2" s="1"/>
  <c r="P152" i="2"/>
  <c r="Z152" i="2" s="1"/>
  <c r="P151" i="2"/>
  <c r="R151" i="2" s="1"/>
  <c r="P150" i="2"/>
  <c r="Z150" i="2" s="1"/>
  <c r="P149" i="2"/>
  <c r="X149" i="2" s="1"/>
  <c r="P148" i="2"/>
  <c r="R148" i="2" s="1"/>
  <c r="P147" i="2"/>
  <c r="X147" i="2" s="1"/>
  <c r="P146" i="2"/>
  <c r="Z146" i="2" s="1"/>
  <c r="P145" i="2"/>
  <c r="X145" i="2" s="1"/>
  <c r="P144" i="2"/>
  <c r="X144" i="2" s="1"/>
  <c r="P143" i="2"/>
  <c r="X143" i="2" s="1"/>
  <c r="P142" i="2"/>
  <c r="Z142" i="2" s="1"/>
  <c r="P141" i="2"/>
  <c r="Z141" i="2" s="1"/>
  <c r="P140" i="2"/>
  <c r="R140" i="2" s="1"/>
  <c r="P139" i="2"/>
  <c r="R139" i="2" s="1"/>
  <c r="P138" i="2"/>
  <c r="Z138" i="2" s="1"/>
  <c r="P137" i="2"/>
  <c r="X137" i="2" s="1"/>
  <c r="P136" i="2"/>
  <c r="R136" i="2" s="1"/>
  <c r="P135" i="2"/>
  <c r="X135" i="2" s="1"/>
  <c r="P134" i="2"/>
  <c r="R134" i="2" s="1"/>
  <c r="P133" i="2"/>
  <c r="Z133" i="2" s="1"/>
  <c r="P132" i="2"/>
  <c r="R132" i="2" s="1"/>
  <c r="P131" i="2"/>
  <c r="Z131" i="2" s="1"/>
  <c r="P130" i="2"/>
  <c r="Z130" i="2" s="1"/>
  <c r="P129" i="2"/>
  <c r="X129" i="2" s="1"/>
  <c r="P128" i="2"/>
  <c r="R128" i="2" s="1"/>
  <c r="P127" i="2"/>
  <c r="X127" i="2" s="1"/>
  <c r="P126" i="2"/>
  <c r="R126" i="2" s="1"/>
  <c r="P125" i="2"/>
  <c r="Z125" i="2" s="1"/>
  <c r="P124" i="2"/>
  <c r="Z124" i="2" s="1"/>
  <c r="P123" i="2"/>
  <c r="X123" i="2" s="1"/>
  <c r="P122" i="2"/>
  <c r="Z122" i="2" s="1"/>
  <c r="P121" i="2"/>
  <c r="X121" i="2" s="1"/>
  <c r="P120" i="2"/>
  <c r="R120" i="2" s="1"/>
  <c r="P119" i="2"/>
  <c r="Z119" i="2" s="1"/>
  <c r="P118" i="2"/>
  <c r="R118" i="2" s="1"/>
  <c r="P117" i="2"/>
  <c r="Z117" i="2" s="1"/>
  <c r="P116" i="2"/>
  <c r="Z116" i="2" s="1"/>
  <c r="P115" i="2"/>
  <c r="X115" i="2" s="1"/>
  <c r="P114" i="2"/>
  <c r="X114" i="2" s="1"/>
  <c r="P113" i="2"/>
  <c r="X113" i="2" s="1"/>
  <c r="P112" i="2"/>
  <c r="R112" i="2" s="1"/>
  <c r="P111" i="2"/>
  <c r="Z111" i="2" s="1"/>
  <c r="P110" i="2"/>
  <c r="R110" i="2" s="1"/>
  <c r="P109" i="2"/>
  <c r="Z109" i="2" s="1"/>
  <c r="P108" i="2"/>
  <c r="Z108" i="2" s="1"/>
  <c r="P107" i="2"/>
  <c r="X107" i="2" s="1"/>
  <c r="P106" i="2"/>
  <c r="R106" i="2" s="1"/>
  <c r="P105" i="2"/>
  <c r="Z105" i="2" s="1"/>
  <c r="P104" i="2"/>
  <c r="R104" i="2" s="1"/>
  <c r="P103" i="2"/>
  <c r="Z103" i="2" s="1"/>
  <c r="P102" i="2"/>
  <c r="Z102" i="2" s="1"/>
  <c r="P101" i="2"/>
  <c r="R101" i="2" s="1"/>
  <c r="P100" i="2"/>
  <c r="Z100" i="2" s="1"/>
  <c r="P99" i="2"/>
  <c r="X99" i="2" s="1"/>
  <c r="P98" i="2"/>
  <c r="Z98" i="2" s="1"/>
  <c r="P97" i="2"/>
  <c r="Z97" i="2" s="1"/>
  <c r="P96" i="2"/>
  <c r="R96" i="2" s="1"/>
  <c r="P95" i="2"/>
  <c r="Z95" i="2" s="1"/>
  <c r="P94" i="2"/>
  <c r="X94" i="2" s="1"/>
  <c r="P93" i="2"/>
  <c r="Z93" i="2" s="1"/>
  <c r="P92" i="2"/>
  <c r="R92" i="2" s="1"/>
  <c r="P91" i="2"/>
  <c r="X91" i="2" s="1"/>
  <c r="P90" i="2"/>
  <c r="Z90" i="2" s="1"/>
  <c r="P89" i="2"/>
  <c r="X89" i="2" s="1"/>
  <c r="P88" i="2"/>
  <c r="X88" i="2" s="1"/>
  <c r="P87" i="2"/>
  <c r="X87" i="2" s="1"/>
  <c r="P86" i="2"/>
  <c r="Z86" i="2" s="1"/>
  <c r="P85" i="2"/>
  <c r="R85" i="2" s="1"/>
  <c r="P84" i="2"/>
  <c r="R84" i="2" s="1"/>
  <c r="P83" i="2"/>
  <c r="Z83" i="2" s="1"/>
  <c r="P82" i="2"/>
  <c r="Z82" i="2" s="1"/>
  <c r="P81" i="2"/>
  <c r="X81" i="2" s="1"/>
  <c r="P80" i="2"/>
  <c r="Z80" i="2" s="1"/>
  <c r="P79" i="2"/>
  <c r="X79" i="2" s="1"/>
  <c r="P78" i="2"/>
  <c r="R78" i="2" s="1"/>
  <c r="P77" i="2"/>
  <c r="Z77" i="2" s="1"/>
  <c r="P76" i="2"/>
  <c r="R76" i="2" s="1"/>
  <c r="P75" i="2"/>
  <c r="Z75" i="2" s="1"/>
  <c r="P74" i="2"/>
  <c r="Z74" i="2" s="1"/>
  <c r="P73" i="2"/>
  <c r="X73" i="2" s="1"/>
  <c r="P72" i="2"/>
  <c r="Z72" i="2" s="1"/>
  <c r="P71" i="2"/>
  <c r="X71" i="2" s="1"/>
  <c r="P70" i="2"/>
  <c r="R70" i="2" s="1"/>
  <c r="P69" i="2"/>
  <c r="X69" i="2" s="1"/>
  <c r="P68" i="2"/>
  <c r="R68" i="2" s="1"/>
  <c r="P67" i="2"/>
  <c r="Z67" i="2" s="1"/>
  <c r="P66" i="2"/>
  <c r="Z66" i="2" s="1"/>
  <c r="P65" i="2"/>
  <c r="X65" i="2" s="1"/>
  <c r="P64" i="2"/>
  <c r="Z64" i="2" s="1"/>
  <c r="P63" i="2"/>
  <c r="X63" i="2" s="1"/>
  <c r="P62" i="2"/>
  <c r="Z62" i="2" s="1"/>
  <c r="P61" i="2"/>
  <c r="X61" i="2" s="1"/>
  <c r="P60" i="2"/>
  <c r="R60" i="2" s="1"/>
  <c r="P59" i="2"/>
  <c r="Z59" i="2" s="1"/>
  <c r="P58" i="2"/>
  <c r="Z58" i="2" s="1"/>
  <c r="P57" i="2"/>
  <c r="X57" i="2" s="1"/>
  <c r="P56" i="2"/>
  <c r="Z56" i="2" s="1"/>
  <c r="P55" i="2"/>
  <c r="X55" i="2" s="1"/>
  <c r="P54" i="2"/>
  <c r="Z54" i="2" s="1"/>
  <c r="P53" i="2"/>
  <c r="Z53" i="2" s="1"/>
  <c r="P52" i="2"/>
  <c r="R52" i="2" s="1"/>
  <c r="P51" i="2"/>
  <c r="R51" i="2" s="1"/>
  <c r="P50" i="2"/>
  <c r="Z50" i="2" s="1"/>
  <c r="P49" i="2"/>
  <c r="X49" i="2" s="1"/>
  <c r="P48" i="2"/>
  <c r="Z48" i="2" s="1"/>
  <c r="P47" i="2"/>
  <c r="X47" i="2" s="1"/>
  <c r="P46" i="2"/>
  <c r="Z46" i="2" s="1"/>
  <c r="P45" i="2"/>
  <c r="X45" i="2" s="1"/>
  <c r="P44" i="2"/>
  <c r="R44" i="2" s="1"/>
  <c r="P43" i="2"/>
  <c r="R43" i="2" s="1"/>
  <c r="P42" i="2"/>
  <c r="Z42" i="2" s="1"/>
  <c r="P41" i="2"/>
  <c r="X41" i="2" s="1"/>
  <c r="P40" i="2"/>
  <c r="Z40" i="2" s="1"/>
  <c r="P39" i="2"/>
  <c r="X39" i="2" s="1"/>
  <c r="P38" i="2"/>
  <c r="Z38" i="2" s="1"/>
  <c r="P37" i="2"/>
  <c r="Z37" i="2" s="1"/>
  <c r="P36" i="2"/>
  <c r="R36" i="2" s="1"/>
  <c r="P35" i="2"/>
  <c r="R35" i="2" s="1"/>
  <c r="P34" i="2"/>
  <c r="Z34" i="2" s="1"/>
  <c r="P33" i="2"/>
  <c r="X33" i="2" s="1"/>
  <c r="P32" i="2"/>
  <c r="Z32" i="2" s="1"/>
  <c r="P31" i="2"/>
  <c r="X31" i="2" s="1"/>
  <c r="P30" i="2"/>
  <c r="Z30" i="2" s="1"/>
  <c r="P29" i="2"/>
  <c r="X29" i="2" s="1"/>
  <c r="P28" i="2"/>
  <c r="R28" i="2" s="1"/>
  <c r="P27" i="2"/>
  <c r="R27" i="2" s="1"/>
  <c r="P26" i="2"/>
  <c r="Z26" i="2" s="1"/>
  <c r="P25" i="2"/>
  <c r="X25" i="2" s="1"/>
  <c r="P24" i="2"/>
  <c r="R24" i="2" s="1"/>
  <c r="P23" i="2"/>
  <c r="Z23" i="2" s="1"/>
  <c r="P22" i="2"/>
  <c r="Z22" i="2" s="1"/>
  <c r="P21" i="2"/>
  <c r="X21" i="2" s="1"/>
  <c r="P20" i="2"/>
  <c r="Z20" i="2" s="1"/>
  <c r="P19" i="2"/>
  <c r="X19" i="2" s="1"/>
  <c r="P18" i="2"/>
  <c r="Z18" i="2" s="1"/>
  <c r="P17" i="2"/>
  <c r="R17" i="2" s="1"/>
  <c r="P16" i="2"/>
  <c r="Z16" i="2" s="1"/>
  <c r="P15" i="2"/>
  <c r="X15" i="2" s="1"/>
  <c r="P14" i="2"/>
  <c r="X14" i="2" s="1"/>
  <c r="P13" i="2"/>
  <c r="X13" i="2" s="1"/>
  <c r="P12" i="2"/>
  <c r="R12" i="2" s="1"/>
  <c r="P11" i="2"/>
  <c r="Z11" i="2" s="1"/>
  <c r="P10" i="2"/>
  <c r="Z10" i="2" s="1"/>
  <c r="P9" i="2"/>
  <c r="X9" i="2" s="1"/>
  <c r="P8" i="2"/>
  <c r="Z8" i="2" s="1"/>
  <c r="P7" i="2"/>
  <c r="X7" i="2" s="1"/>
  <c r="P6" i="2"/>
  <c r="R6" i="2" s="1"/>
  <c r="P5" i="2"/>
  <c r="Z5" i="2" s="1"/>
  <c r="P4" i="2"/>
  <c r="Z4" i="2" s="1"/>
  <c r="R177" i="2" l="1"/>
  <c r="X183" i="2"/>
  <c r="Z183" i="2"/>
  <c r="X185" i="2"/>
  <c r="Z185" i="2"/>
  <c r="X184" i="2"/>
  <c r="R184" i="2"/>
  <c r="R186" i="2"/>
  <c r="X186" i="2"/>
  <c r="Z177" i="2"/>
  <c r="Z180" i="2"/>
  <c r="X180" i="2"/>
  <c r="X179" i="2"/>
  <c r="Z179" i="2"/>
  <c r="R182" i="2"/>
  <c r="X182" i="2"/>
  <c r="X181" i="2"/>
  <c r="Z181" i="2"/>
  <c r="R178" i="2"/>
  <c r="X178" i="2"/>
  <c r="R175" i="2"/>
  <c r="X175" i="2"/>
  <c r="R176" i="2"/>
  <c r="X176" i="2"/>
  <c r="R162" i="2"/>
  <c r="X150" i="2"/>
  <c r="X155" i="2"/>
  <c r="X170" i="2"/>
  <c r="X151" i="2"/>
  <c r="X163" i="2"/>
  <c r="R170" i="2"/>
  <c r="X154" i="2"/>
  <c r="X157" i="2"/>
  <c r="R161" i="2"/>
  <c r="R168" i="2"/>
  <c r="R154" i="2"/>
  <c r="Z157" i="2"/>
  <c r="X161" i="2"/>
  <c r="X164" i="2"/>
  <c r="Z168" i="2"/>
  <c r="X165" i="2"/>
  <c r="R169" i="2"/>
  <c r="X172" i="2"/>
  <c r="Z165" i="2"/>
  <c r="X169" i="2"/>
  <c r="Z151" i="2"/>
  <c r="R160" i="2"/>
  <c r="X162" i="2"/>
  <c r="X173" i="2"/>
  <c r="X156" i="2"/>
  <c r="Z160" i="2"/>
  <c r="R153" i="2"/>
  <c r="R159" i="2"/>
  <c r="R167" i="2"/>
  <c r="Z173" i="2"/>
  <c r="R150" i="2"/>
  <c r="X153" i="2"/>
  <c r="R156" i="2"/>
  <c r="X159" i="2"/>
  <c r="R164" i="2"/>
  <c r="X167" i="2"/>
  <c r="R172" i="2"/>
  <c r="R152" i="2"/>
  <c r="R158" i="2"/>
  <c r="R166" i="2"/>
  <c r="R174" i="2"/>
  <c r="X152" i="2"/>
  <c r="R155" i="2"/>
  <c r="X158" i="2"/>
  <c r="R163" i="2"/>
  <c r="X166" i="2"/>
  <c r="R171" i="2"/>
  <c r="X174" i="2"/>
  <c r="X171" i="2"/>
  <c r="X133" i="2"/>
  <c r="X112" i="2"/>
  <c r="R133" i="2"/>
  <c r="Z149" i="2"/>
  <c r="Z123" i="2"/>
  <c r="Z145" i="2"/>
  <c r="R141" i="2"/>
  <c r="X141" i="2"/>
  <c r="R117" i="2"/>
  <c r="R127" i="2"/>
  <c r="Z137" i="2"/>
  <c r="X128" i="2"/>
  <c r="R131" i="2"/>
  <c r="X120" i="2"/>
  <c r="R125" i="2"/>
  <c r="Z128" i="2"/>
  <c r="X131" i="2"/>
  <c r="Z134" i="2"/>
  <c r="X139" i="2"/>
  <c r="X142" i="2"/>
  <c r="R147" i="2"/>
  <c r="R119" i="2"/>
  <c r="X134" i="2"/>
  <c r="Z120" i="2"/>
  <c r="X125" i="2"/>
  <c r="Z139" i="2"/>
  <c r="Z147" i="2"/>
  <c r="R111" i="2"/>
  <c r="X106" i="2"/>
  <c r="R109" i="2"/>
  <c r="Z112" i="2"/>
  <c r="X117" i="2"/>
  <c r="R143" i="2"/>
  <c r="Z115" i="2"/>
  <c r="Z106" i="2"/>
  <c r="X109" i="2"/>
  <c r="X136" i="2"/>
  <c r="X130" i="2"/>
  <c r="Z107" i="2"/>
  <c r="X110" i="2"/>
  <c r="Z113" i="2"/>
  <c r="R115" i="2"/>
  <c r="X118" i="2"/>
  <c r="Z121" i="2"/>
  <c r="R123" i="2"/>
  <c r="AA123" i="2" s="1"/>
  <c r="X126" i="2"/>
  <c r="Z129" i="2"/>
  <c r="X132" i="2"/>
  <c r="Z135" i="2"/>
  <c r="R137" i="2"/>
  <c r="X140" i="2"/>
  <c r="Z143" i="2"/>
  <c r="R145" i="2"/>
  <c r="X148" i="2"/>
  <c r="X111" i="2"/>
  <c r="Z114" i="2"/>
  <c r="X119" i="2"/>
  <c r="R130" i="2"/>
  <c r="Z136" i="2"/>
  <c r="X108" i="2"/>
  <c r="R113" i="2"/>
  <c r="X124" i="2"/>
  <c r="X146" i="2"/>
  <c r="Z110" i="2"/>
  <c r="Z118" i="2"/>
  <c r="Z126" i="2"/>
  <c r="Z132" i="2"/>
  <c r="Z140" i="2"/>
  <c r="R142" i="2"/>
  <c r="Z148" i="2"/>
  <c r="R114" i="2"/>
  <c r="R122" i="2"/>
  <c r="R144" i="2"/>
  <c r="R149" i="2"/>
  <c r="Z144" i="2"/>
  <c r="R146" i="2"/>
  <c r="R108" i="2"/>
  <c r="R124" i="2"/>
  <c r="R121" i="2"/>
  <c r="Z127" i="2"/>
  <c r="X122" i="2"/>
  <c r="R116" i="2"/>
  <c r="R138" i="2"/>
  <c r="R107" i="2"/>
  <c r="X116" i="2"/>
  <c r="R129" i="2"/>
  <c r="R135" i="2"/>
  <c r="X138" i="2"/>
  <c r="X101" i="2"/>
  <c r="Z101" i="2"/>
  <c r="Z55" i="2"/>
  <c r="X27" i="2"/>
  <c r="Z96" i="2"/>
  <c r="Z27" i="2"/>
  <c r="X96" i="2"/>
  <c r="R41" i="2"/>
  <c r="X104" i="2"/>
  <c r="Z104" i="2"/>
  <c r="X60" i="2"/>
  <c r="Z99" i="2"/>
  <c r="X98" i="2"/>
  <c r="R103" i="2"/>
  <c r="X95" i="2"/>
  <c r="R100" i="2"/>
  <c r="X103" i="2"/>
  <c r="R97" i="2"/>
  <c r="X100" i="2"/>
  <c r="R105" i="2"/>
  <c r="Z94" i="2"/>
  <c r="X97" i="2"/>
  <c r="R102" i="2"/>
  <c r="X105" i="2"/>
  <c r="R94" i="2"/>
  <c r="R99" i="2"/>
  <c r="X102" i="2"/>
  <c r="R98" i="2"/>
  <c r="R95" i="2"/>
  <c r="R33" i="2"/>
  <c r="Z47" i="2"/>
  <c r="X67" i="2"/>
  <c r="Z33" i="2"/>
  <c r="R57" i="2"/>
  <c r="X84" i="2"/>
  <c r="Z43" i="2"/>
  <c r="X52" i="2"/>
  <c r="X68" i="2"/>
  <c r="R25" i="2"/>
  <c r="Z39" i="2"/>
  <c r="R49" i="2"/>
  <c r="R75" i="2"/>
  <c r="X36" i="2"/>
  <c r="X51" i="2"/>
  <c r="Z78" i="2"/>
  <c r="X35" i="2"/>
  <c r="X44" i="2"/>
  <c r="Z49" i="2"/>
  <c r="X59" i="2"/>
  <c r="X75" i="2"/>
  <c r="R81" i="2"/>
  <c r="X86" i="2"/>
  <c r="Z51" i="2"/>
  <c r="Z73" i="2"/>
  <c r="R89" i="2"/>
  <c r="X28" i="2"/>
  <c r="X43" i="2"/>
  <c r="Z89" i="2"/>
  <c r="Z63" i="2"/>
  <c r="Z31" i="2"/>
  <c r="Z35" i="2"/>
  <c r="R65" i="2"/>
  <c r="Z81" i="2"/>
  <c r="X30" i="2"/>
  <c r="X38" i="2"/>
  <c r="X46" i="2"/>
  <c r="X54" i="2"/>
  <c r="X62" i="2"/>
  <c r="X70" i="2"/>
  <c r="R59" i="2"/>
  <c r="R67" i="2"/>
  <c r="Z70" i="2"/>
  <c r="X78" i="2"/>
  <c r="Z71" i="2"/>
  <c r="R83" i="2"/>
  <c r="R91" i="2"/>
  <c r="Z79" i="2"/>
  <c r="X83" i="2"/>
  <c r="Z87" i="2"/>
  <c r="Z91" i="2"/>
  <c r="Z25" i="2"/>
  <c r="Z41" i="2"/>
  <c r="Z57" i="2"/>
  <c r="Z65" i="2"/>
  <c r="R73" i="2"/>
  <c r="X76" i="2"/>
  <c r="X92" i="2"/>
  <c r="Z28" i="2"/>
  <c r="R30" i="2"/>
  <c r="Z36" i="2"/>
  <c r="R38" i="2"/>
  <c r="Z44" i="2"/>
  <c r="R46" i="2"/>
  <c r="Z52" i="2"/>
  <c r="R54" i="2"/>
  <c r="Z60" i="2"/>
  <c r="R62" i="2"/>
  <c r="Z68" i="2"/>
  <c r="Z76" i="2"/>
  <c r="Z84" i="2"/>
  <c r="R86" i="2"/>
  <c r="Z92" i="2"/>
  <c r="R88" i="2"/>
  <c r="R77" i="2"/>
  <c r="X80" i="2"/>
  <c r="R93" i="2"/>
  <c r="R32" i="2"/>
  <c r="R40" i="2"/>
  <c r="R48" i="2"/>
  <c r="R56" i="2"/>
  <c r="R64" i="2"/>
  <c r="R72" i="2"/>
  <c r="R80" i="2"/>
  <c r="R29" i="2"/>
  <c r="X32" i="2"/>
  <c r="R37" i="2"/>
  <c r="X40" i="2"/>
  <c r="R45" i="2"/>
  <c r="X48" i="2"/>
  <c r="R53" i="2"/>
  <c r="X56" i="2"/>
  <c r="R61" i="2"/>
  <c r="X64" i="2"/>
  <c r="R69" i="2"/>
  <c r="X72" i="2"/>
  <c r="X93" i="2"/>
  <c r="R34" i="2"/>
  <c r="X37" i="2"/>
  <c r="R50" i="2"/>
  <c r="X53" i="2"/>
  <c r="R74" i="2"/>
  <c r="X77" i="2"/>
  <c r="R82" i="2"/>
  <c r="X85" i="2"/>
  <c r="Z88" i="2"/>
  <c r="X26" i="2"/>
  <c r="Z29" i="2"/>
  <c r="R31" i="2"/>
  <c r="X34" i="2"/>
  <c r="R39" i="2"/>
  <c r="X42" i="2"/>
  <c r="Z45" i="2"/>
  <c r="R47" i="2"/>
  <c r="X50" i="2"/>
  <c r="R55" i="2"/>
  <c r="X58" i="2"/>
  <c r="Z61" i="2"/>
  <c r="R63" i="2"/>
  <c r="X66" i="2"/>
  <c r="Z69" i="2"/>
  <c r="R71" i="2"/>
  <c r="X74" i="2"/>
  <c r="R79" i="2"/>
  <c r="X82" i="2"/>
  <c r="Z85" i="2"/>
  <c r="R87" i="2"/>
  <c r="X90" i="2"/>
  <c r="R26" i="2"/>
  <c r="R42" i="2"/>
  <c r="R58" i="2"/>
  <c r="R66" i="2"/>
  <c r="R90" i="2"/>
  <c r="Z17" i="2"/>
  <c r="X17" i="2"/>
  <c r="R23" i="2"/>
  <c r="Z12" i="2"/>
  <c r="Z24" i="2"/>
  <c r="R9" i="2"/>
  <c r="Z9" i="2"/>
  <c r="Z15" i="2"/>
  <c r="Z21" i="2"/>
  <c r="Z7" i="2"/>
  <c r="X12" i="2"/>
  <c r="X24" i="2"/>
  <c r="X23" i="2"/>
  <c r="X22" i="2"/>
  <c r="Z14" i="2"/>
  <c r="X16" i="2"/>
  <c r="R14" i="2"/>
  <c r="R20" i="2"/>
  <c r="R11" i="2"/>
  <c r="X6" i="2"/>
  <c r="R8" i="2"/>
  <c r="R22" i="2"/>
  <c r="Z6" i="2"/>
  <c r="R13" i="2"/>
  <c r="R5" i="2"/>
  <c r="X5" i="2"/>
  <c r="R7" i="2"/>
  <c r="X10" i="2"/>
  <c r="Z13" i="2"/>
  <c r="R15" i="2"/>
  <c r="X18" i="2"/>
  <c r="Z19" i="2"/>
  <c r="R21" i="2"/>
  <c r="X20" i="2"/>
  <c r="X11" i="2"/>
  <c r="R16" i="2"/>
  <c r="X8" i="2"/>
  <c r="R19" i="2"/>
  <c r="R10" i="2"/>
  <c r="R18" i="2"/>
  <c r="R4" i="2"/>
  <c r="X4" i="2"/>
  <c r="G2" i="2"/>
  <c r="AA177" i="2" l="1"/>
  <c r="AA179" i="2"/>
  <c r="AA175" i="2"/>
  <c r="AA183" i="2"/>
  <c r="AA180" i="2"/>
  <c r="AA185" i="2"/>
  <c r="AA186" i="2"/>
  <c r="AA184" i="2"/>
  <c r="AA181" i="2"/>
  <c r="AA178" i="2"/>
  <c r="AA182" i="2"/>
  <c r="AA162" i="2"/>
  <c r="AA151" i="2"/>
  <c r="AA176" i="2"/>
  <c r="AA170" i="2"/>
  <c r="AA155" i="2"/>
  <c r="AA120" i="2"/>
  <c r="AA154" i="2"/>
  <c r="AA160" i="2"/>
  <c r="AA168" i="2"/>
  <c r="AA150" i="2"/>
  <c r="AA165" i="2"/>
  <c r="AA152" i="2"/>
  <c r="AA173" i="2"/>
  <c r="AA149" i="2"/>
  <c r="AA163" i="2"/>
  <c r="AA172" i="2"/>
  <c r="AA167" i="2"/>
  <c r="AA133" i="2"/>
  <c r="AA159" i="2"/>
  <c r="AA157" i="2"/>
  <c r="AA169" i="2"/>
  <c r="AA164" i="2"/>
  <c r="AA153" i="2"/>
  <c r="AA161" i="2"/>
  <c r="AA174" i="2"/>
  <c r="AA156" i="2"/>
  <c r="AA171" i="2"/>
  <c r="AA158" i="2"/>
  <c r="AA166" i="2"/>
  <c r="AA127" i="2"/>
  <c r="AA107" i="2"/>
  <c r="AA125" i="2"/>
  <c r="AA80" i="2"/>
  <c r="AA128" i="2"/>
  <c r="AA111" i="2"/>
  <c r="AA141" i="2"/>
  <c r="AA73" i="2"/>
  <c r="AA112" i="2"/>
  <c r="AA67" i="2"/>
  <c r="AA96" i="2"/>
  <c r="AA121" i="2"/>
  <c r="AA115" i="2"/>
  <c r="AA106" i="2"/>
  <c r="AA117" i="2"/>
  <c r="AA33" i="2"/>
  <c r="AA124" i="2"/>
  <c r="AA132" i="2"/>
  <c r="AA147" i="2"/>
  <c r="AA23" i="2"/>
  <c r="AA142" i="2"/>
  <c r="AA138" i="2"/>
  <c r="AA145" i="2"/>
  <c r="AA143" i="2"/>
  <c r="AA27" i="2"/>
  <c r="AA129" i="2"/>
  <c r="AA108" i="2"/>
  <c r="AA148" i="2"/>
  <c r="AA109" i="2"/>
  <c r="AA134" i="2"/>
  <c r="AA55" i="2"/>
  <c r="AA101" i="2"/>
  <c r="AA130" i="2"/>
  <c r="AA137" i="2"/>
  <c r="AA118" i="2"/>
  <c r="AA139" i="2"/>
  <c r="AA113" i="2"/>
  <c r="AA110" i="2"/>
  <c r="AA131" i="2"/>
  <c r="AA114" i="2"/>
  <c r="AA49" i="2"/>
  <c r="AA119" i="2"/>
  <c r="AA126" i="2"/>
  <c r="AA135" i="2"/>
  <c r="AA122" i="2"/>
  <c r="AA140" i="2"/>
  <c r="AA136" i="2"/>
  <c r="AA146" i="2"/>
  <c r="AA116" i="2"/>
  <c r="AA144" i="2"/>
  <c r="AA39" i="2"/>
  <c r="AA44" i="2"/>
  <c r="AA68" i="2"/>
  <c r="AA104" i="2"/>
  <c r="AA35" i="2"/>
  <c r="AA95" i="2"/>
  <c r="AA51" i="2"/>
  <c r="AA41" i="2"/>
  <c r="AA81" i="2"/>
  <c r="AA85" i="2"/>
  <c r="AA25" i="2"/>
  <c r="AA78" i="2"/>
  <c r="AA82" i="2"/>
  <c r="AA46" i="2"/>
  <c r="AA22" i="2"/>
  <c r="AA86" i="2"/>
  <c r="AA63" i="2"/>
  <c r="AA75" i="2"/>
  <c r="AA76" i="2"/>
  <c r="AA65" i="2"/>
  <c r="AA102" i="2"/>
  <c r="AA98" i="2"/>
  <c r="AA43" i="2"/>
  <c r="AA99" i="2"/>
  <c r="AA59" i="2"/>
  <c r="AA60" i="2"/>
  <c r="AA28" i="2"/>
  <c r="AA91" i="2"/>
  <c r="AA71" i="2"/>
  <c r="AA47" i="2"/>
  <c r="AA54" i="2"/>
  <c r="AA92" i="2"/>
  <c r="AA105" i="2"/>
  <c r="AA94" i="2"/>
  <c r="AA97" i="2"/>
  <c r="AA100" i="2"/>
  <c r="AA103" i="2"/>
  <c r="AA52" i="2"/>
  <c r="AA89" i="2"/>
  <c r="AA87" i="2"/>
  <c r="AA57" i="2"/>
  <c r="AA70" i="2"/>
  <c r="AA84" i="2"/>
  <c r="AA83" i="2"/>
  <c r="AA31" i="2"/>
  <c r="AA36" i="2"/>
  <c r="AA17" i="2"/>
  <c r="AA79" i="2"/>
  <c r="AA62" i="2"/>
  <c r="AA30" i="2"/>
  <c r="AA38" i="2"/>
  <c r="AA29" i="2"/>
  <c r="AA37" i="2"/>
  <c r="AA74" i="2"/>
  <c r="AA69" i="2"/>
  <c r="AA93" i="2"/>
  <c r="AA48" i="2"/>
  <c r="AA90" i="2"/>
  <c r="AA50" i="2"/>
  <c r="AA40" i="2"/>
  <c r="AA61" i="2"/>
  <c r="AA66" i="2"/>
  <c r="AA58" i="2"/>
  <c r="AA53" i="2"/>
  <c r="AA77" i="2"/>
  <c r="AA32" i="2"/>
  <c r="AA72" i="2"/>
  <c r="AA42" i="2"/>
  <c r="AA34" i="2"/>
  <c r="AA64" i="2"/>
  <c r="AA88" i="2"/>
  <c r="AA26" i="2"/>
  <c r="AA45" i="2"/>
  <c r="AA56" i="2"/>
  <c r="AA12" i="2"/>
  <c r="AA24" i="2"/>
  <c r="AA15" i="2"/>
  <c r="AA8" i="2"/>
  <c r="AA7" i="2"/>
  <c r="AA6" i="2"/>
  <c r="AA21" i="2"/>
  <c r="AA9" i="2"/>
  <c r="AA5" i="2"/>
  <c r="AA13" i="2"/>
  <c r="AA14" i="2"/>
  <c r="AA10" i="2"/>
  <c r="AA19" i="2"/>
  <c r="AA11" i="2"/>
  <c r="AA16" i="2"/>
  <c r="AA18" i="2"/>
  <c r="AA20" i="2"/>
  <c r="AA4" i="2"/>
  <c r="P2" i="2"/>
  <c r="X2" i="2" l="1"/>
  <c r="R2" i="2"/>
  <c r="Z2" i="2" l="1"/>
  <c r="AA2" i="2"/>
</calcChain>
</file>

<file path=xl/sharedStrings.xml><?xml version="1.0" encoding="utf-8"?>
<sst xmlns="http://schemas.openxmlformats.org/spreadsheetml/2006/main" count="5409" uniqueCount="1536">
  <si>
    <t>S.NO</t>
  </si>
  <si>
    <t>Accounting Date</t>
  </si>
  <si>
    <t>DATE</t>
  </si>
  <si>
    <t>Weighment Slip No</t>
  </si>
  <si>
    <t>Delivery  Challan No</t>
  </si>
  <si>
    <t>Royalty Permit No</t>
  </si>
  <si>
    <t>Permit Quantity(CM)</t>
  </si>
  <si>
    <t>CUSTOMER Sr.No.</t>
  </si>
  <si>
    <t>CLINTE DETAILS</t>
  </si>
  <si>
    <t xml:space="preserve">VEHICLE NO </t>
  </si>
  <si>
    <t>GROSS WT</t>
  </si>
  <si>
    <t>NET WT</t>
  </si>
  <si>
    <t>RATE PER TONE</t>
  </si>
  <si>
    <t>AMOUNT</t>
  </si>
  <si>
    <t>CASH RECEIVED</t>
  </si>
  <si>
    <t>CUSTOMER BALANCE AMOUNT(RS)</t>
  </si>
  <si>
    <t>REMARKS</t>
  </si>
  <si>
    <t>Royalty Rate</t>
  </si>
  <si>
    <t>Royalty Amouunt</t>
  </si>
  <si>
    <t>Transport Rate</t>
  </si>
  <si>
    <t>Transport Amount</t>
  </si>
  <si>
    <t>Total Amount</t>
  </si>
  <si>
    <t>TRANSPORTER NAME</t>
  </si>
  <si>
    <t>Others</t>
  </si>
  <si>
    <t>OFFICE</t>
  </si>
  <si>
    <t>NAME OF THE CUSTOMER</t>
  </si>
  <si>
    <t>PAYMENT TERMS</t>
  </si>
  <si>
    <t>Material</t>
  </si>
  <si>
    <t>dff</t>
  </si>
  <si>
    <t>ADVANCE RECEIVED</t>
  </si>
  <si>
    <t>CASH</t>
  </si>
  <si>
    <t>SCOLPIN</t>
  </si>
  <si>
    <t>N251001004</t>
  </si>
  <si>
    <t>SWAMI</t>
  </si>
  <si>
    <t>AP31TC9998</t>
  </si>
  <si>
    <t>SAKPDC004204/25-26</t>
  </si>
  <si>
    <t>MDLA9548348</t>
  </si>
  <si>
    <t>L&amp;T P-1</t>
  </si>
  <si>
    <t>CREDIT</t>
  </si>
  <si>
    <t>AP39W4518</t>
  </si>
  <si>
    <t>10MM</t>
  </si>
  <si>
    <t>SAKPDC004205/25-26</t>
  </si>
  <si>
    <t>MDLA9548349</t>
  </si>
  <si>
    <t>APWC7449</t>
  </si>
  <si>
    <t>SAKPDC004206/25-26</t>
  </si>
  <si>
    <t>MDLA9548350</t>
  </si>
  <si>
    <t>JS MINING &amp;CONSTRUCTIONS</t>
  </si>
  <si>
    <t>AP39VE2979</t>
  </si>
  <si>
    <t>20MM</t>
  </si>
  <si>
    <t>SAKPDC004207/25-26</t>
  </si>
  <si>
    <t>MDLA9548351</t>
  </si>
  <si>
    <t>AP39W0505</t>
  </si>
  <si>
    <t>SAKPDC004208/25-26</t>
  </si>
  <si>
    <t>MDLA9548352</t>
  </si>
  <si>
    <t>AP39TV2536</t>
  </si>
  <si>
    <t>RIVO SAND</t>
  </si>
  <si>
    <t>SAKPDC004209/25-26</t>
  </si>
  <si>
    <t>MDLA9548353</t>
  </si>
  <si>
    <t>AP39TV2537</t>
  </si>
  <si>
    <t>SAKPDC004215/25-26</t>
  </si>
  <si>
    <t>MDLA9548358</t>
  </si>
  <si>
    <t>AP39UJ2669</t>
  </si>
  <si>
    <t>SAKPDC004210/25-26</t>
  </si>
  <si>
    <t>MDLA9548354</t>
  </si>
  <si>
    <t>AP39WD4199</t>
  </si>
  <si>
    <t>SAKPDC004212/25-26</t>
  </si>
  <si>
    <t>MDLA9548355</t>
  </si>
  <si>
    <t>AP39WH1869</t>
  </si>
  <si>
    <t>SAKPDC004214/25-26</t>
  </si>
  <si>
    <t>MDLA9548357</t>
  </si>
  <si>
    <t>AP31TN2579</t>
  </si>
  <si>
    <t>SAKPDC004213/25-26</t>
  </si>
  <si>
    <t>MDLA9548356</t>
  </si>
  <si>
    <t>AP39WH3659</t>
  </si>
  <si>
    <t>SAKPDC004216/25-26</t>
  </si>
  <si>
    <t>MDLA9548359</t>
  </si>
  <si>
    <t>AP39WB2536</t>
  </si>
  <si>
    <t>SAKPDC004218/25-26</t>
  </si>
  <si>
    <t>MDLA9548361</t>
  </si>
  <si>
    <t>AP39UZ3335</t>
  </si>
  <si>
    <t>SAKPDC004217/25-26</t>
  </si>
  <si>
    <t>MDLA9548360</t>
  </si>
  <si>
    <t>AP39UW2589</t>
  </si>
  <si>
    <t>SAKPDC004219/25-26</t>
  </si>
  <si>
    <t>MDLA9548362</t>
  </si>
  <si>
    <t>SRI PYDIMAMABA ENTERPISES</t>
  </si>
  <si>
    <t>AP39WE2345</t>
  </si>
  <si>
    <t>SAKPDC004220/25-26</t>
  </si>
  <si>
    <t>MDLA9548363</t>
  </si>
  <si>
    <t>AP31TN4302</t>
  </si>
  <si>
    <t>SAKPDC004221/25-26</t>
  </si>
  <si>
    <t>MDLA9548364</t>
  </si>
  <si>
    <t>AP39VB8829</t>
  </si>
  <si>
    <t>SAKPDC004222/25-26</t>
  </si>
  <si>
    <t>MDLA9548365</t>
  </si>
  <si>
    <t>AP39UU5665</t>
  </si>
  <si>
    <t>SAKPDC004223/25-26</t>
  </si>
  <si>
    <t>MDLA9548366</t>
  </si>
  <si>
    <t>AP39WC2389</t>
  </si>
  <si>
    <t>SAKPDC004224/25-26</t>
  </si>
  <si>
    <t>MDLA9548367</t>
  </si>
  <si>
    <t>AP39UQ2489</t>
  </si>
  <si>
    <t>SAKPDC004225/25-26</t>
  </si>
  <si>
    <t>MDLA9548368</t>
  </si>
  <si>
    <t>SAKPDC004226/25-26</t>
  </si>
  <si>
    <t>MDLA9548371</t>
  </si>
  <si>
    <t>AFCONS INFRASTRUCTURE LTD</t>
  </si>
  <si>
    <t>AP39TU2489</t>
  </si>
  <si>
    <t>SAKPDC004227/25-26</t>
  </si>
  <si>
    <t>MDLA9548369</t>
  </si>
  <si>
    <t>AP39VD5226</t>
  </si>
  <si>
    <t>SAKPDC004228/25-26</t>
  </si>
  <si>
    <t>MDLA9548370</t>
  </si>
  <si>
    <t>AP39UJ2489</t>
  </si>
  <si>
    <t>SAKPDC004229/25-26</t>
  </si>
  <si>
    <t>MDLA9548372</t>
  </si>
  <si>
    <t>AP39VC5289</t>
  </si>
  <si>
    <t>SAKPDC004230/25-26</t>
  </si>
  <si>
    <t>MDLA9548373</t>
  </si>
  <si>
    <t>AP39WC9149</t>
  </si>
  <si>
    <t>SAKPDC004232/25-26</t>
  </si>
  <si>
    <t>MDLA9548375</t>
  </si>
  <si>
    <t>AP39WD8349</t>
  </si>
  <si>
    <t>SAKPDC004231/25-26</t>
  </si>
  <si>
    <t>MDLA9548374</t>
  </si>
  <si>
    <t>AP39WC7449</t>
  </si>
  <si>
    <t>SAKPDC004233/25-26</t>
  </si>
  <si>
    <t>MDLA9548376</t>
  </si>
  <si>
    <t>SAKPDC004234/25-26</t>
  </si>
  <si>
    <t>MDLA9548377</t>
  </si>
  <si>
    <t>SAKPDC004235/25-26</t>
  </si>
  <si>
    <t>MDLA9548378</t>
  </si>
  <si>
    <t>SAKPDC004236/25-26</t>
  </si>
  <si>
    <t>MDLA9548379</t>
  </si>
  <si>
    <t>AP39UF3245</t>
  </si>
  <si>
    <t>SAKPDC004237/25-26</t>
  </si>
  <si>
    <t>MDLA9548380</t>
  </si>
  <si>
    <t>AP39WE1535</t>
  </si>
  <si>
    <t>SAKPDC004241/25-26</t>
  </si>
  <si>
    <t>MDLA9548384</t>
  </si>
  <si>
    <t>SAKPDC004238/25-26</t>
  </si>
  <si>
    <t>MDLA9548381</t>
  </si>
  <si>
    <t>AP39UZ2489</t>
  </si>
  <si>
    <t>SAKPDC004239/25-26</t>
  </si>
  <si>
    <t>MDLA9548382</t>
  </si>
  <si>
    <t>SAKPDC004240/25-26</t>
  </si>
  <si>
    <t>MDLA9548383</t>
  </si>
  <si>
    <t>SAKPDC004242/25-26</t>
  </si>
  <si>
    <t>MDLA9548385</t>
  </si>
  <si>
    <t>AP39W7119</t>
  </si>
  <si>
    <t>SAKPDC004245/25-26</t>
  </si>
  <si>
    <t>MDLA9548388</t>
  </si>
  <si>
    <t>AP39WB7259</t>
  </si>
  <si>
    <t>SAKPDC004251/25-26</t>
  </si>
  <si>
    <t>MDLA9548395</t>
  </si>
  <si>
    <t>MK BUILDERS &amp; DEVELOPERS</t>
  </si>
  <si>
    <t>AP39UJ5066</t>
  </si>
  <si>
    <t>SAKPDC004243/25-26</t>
  </si>
  <si>
    <t>MDLA9548386</t>
  </si>
  <si>
    <t>AP39UJ5067</t>
  </si>
  <si>
    <t>SAKPDC004253/25-26</t>
  </si>
  <si>
    <t>MDLA9548397</t>
  </si>
  <si>
    <t>AP39UJ5068</t>
  </si>
  <si>
    <t>SAKPDC004246/25-26</t>
  </si>
  <si>
    <t>MDLA9548389</t>
  </si>
  <si>
    <t>AP39WF3339</t>
  </si>
  <si>
    <t>SAKPDC004247/25-26</t>
  </si>
  <si>
    <t>MDLA9548390</t>
  </si>
  <si>
    <t>SAKPDC004244/25-26</t>
  </si>
  <si>
    <t>MDLA9548387</t>
  </si>
  <si>
    <t>SAKPDC004249/25-26</t>
  </si>
  <si>
    <t>MDLA9548392</t>
  </si>
  <si>
    <t>AP39UP9239</t>
  </si>
  <si>
    <t>SAKPDC004248/25-26</t>
  </si>
  <si>
    <t>MDLA9548391</t>
  </si>
  <si>
    <t>SAKPDC004250/25-26</t>
  </si>
  <si>
    <t>MDLA9548393</t>
  </si>
  <si>
    <t>SAKPDC004252/25-26</t>
  </si>
  <si>
    <t>MDLA9548396</t>
  </si>
  <si>
    <t>AP39WD5999</t>
  </si>
  <si>
    <t>SAKPDC004264/25-26</t>
  </si>
  <si>
    <t>MDLA9548408</t>
  </si>
  <si>
    <t>AP39UH2489</t>
  </si>
  <si>
    <t>SAKPDC004254/25-26</t>
  </si>
  <si>
    <t>MDLA9548398</t>
  </si>
  <si>
    <t>AP39UY3435</t>
  </si>
  <si>
    <t>SAKPDC004255/25-26</t>
  </si>
  <si>
    <t>MDLA9548399</t>
  </si>
  <si>
    <t>SAKPDC004256/25-26</t>
  </si>
  <si>
    <t>MDLA9548400</t>
  </si>
  <si>
    <t>AP39WE5559</t>
  </si>
  <si>
    <t>SAKPDC004260/25-26</t>
  </si>
  <si>
    <t>MDLA9548405</t>
  </si>
  <si>
    <t>AP39UJ1166</t>
  </si>
  <si>
    <t>SAKPDC004258/25-26</t>
  </si>
  <si>
    <t>MDLA9548402</t>
  </si>
  <si>
    <t>SAKPDC004257/25-26</t>
  </si>
  <si>
    <t>MDLA9548401</t>
  </si>
  <si>
    <t>AP39WH2769</t>
  </si>
  <si>
    <t>SAKPDC004259/25-26</t>
  </si>
  <si>
    <t>MDLA9548403</t>
  </si>
  <si>
    <t>AP39WG1368</t>
  </si>
  <si>
    <t>SAKPDC004262/25-26</t>
  </si>
  <si>
    <t>MDLA9548406</t>
  </si>
  <si>
    <t>SAKPDC004263/25-26</t>
  </si>
  <si>
    <t>MDLA9548407</t>
  </si>
  <si>
    <t>SAKPDC004261/25-26</t>
  </si>
  <si>
    <t>MDLA9548404</t>
  </si>
  <si>
    <t>SAKPDC004265/25-26</t>
  </si>
  <si>
    <t>MDLA9548409</t>
  </si>
  <si>
    <t>SAKPDC004266/25-26</t>
  </si>
  <si>
    <t>MDLA9548410</t>
  </si>
  <si>
    <t>SAKPDC004267/25-26</t>
  </si>
  <si>
    <t>MDLA9548411</t>
  </si>
  <si>
    <t>N251004001</t>
  </si>
  <si>
    <t>KUMAR</t>
  </si>
  <si>
    <t>AP39UZ2345</t>
  </si>
  <si>
    <t>SANJAY SINGH</t>
  </si>
  <si>
    <t>SAKPDC004268/25-26</t>
  </si>
  <si>
    <t>MDLA9548412</t>
  </si>
  <si>
    <t>SAKPDC004269/25-26</t>
  </si>
  <si>
    <t>MDLA9548413</t>
  </si>
  <si>
    <t>SAKPDC004270/25-26</t>
  </si>
  <si>
    <t>MDLA9548414</t>
  </si>
  <si>
    <t>SAKPDC004271/25-26</t>
  </si>
  <si>
    <t>MDLA9548415</t>
  </si>
  <si>
    <t>SAKPDC004272/25-26</t>
  </si>
  <si>
    <t>MDLA9548416</t>
  </si>
  <si>
    <t>SAKPDC004273/25-26</t>
  </si>
  <si>
    <t>MDLA9548417</t>
  </si>
  <si>
    <t>SAKPDC004274/25-26</t>
  </si>
  <si>
    <t>MDLA9548418</t>
  </si>
  <si>
    <t>SAKPDC004275/25-26</t>
  </si>
  <si>
    <t>MDLA9548419</t>
  </si>
  <si>
    <t>SAKPDC004276/25-26</t>
  </si>
  <si>
    <t>MDLA9548420</t>
  </si>
  <si>
    <t>AP39WD2536</t>
  </si>
  <si>
    <t>SAKPDC004277/25-26</t>
  </si>
  <si>
    <t>MDLA9548421</t>
  </si>
  <si>
    <t>SAKPDC004278/25-26</t>
  </si>
  <si>
    <t>MDLA9548422</t>
  </si>
  <si>
    <t>AP39UD3969</t>
  </si>
  <si>
    <t>SAKPDC004279/25-26</t>
  </si>
  <si>
    <t>MDLA9548423</t>
  </si>
  <si>
    <t>AP39WC9639</t>
  </si>
  <si>
    <t>SAKPDC004280/25-26</t>
  </si>
  <si>
    <t>MDLA9548424</t>
  </si>
  <si>
    <t>SAKPDC004281/25-26</t>
  </si>
  <si>
    <t>MDLA9548425</t>
  </si>
  <si>
    <t>SAKPDC004282/25-26</t>
  </si>
  <si>
    <t>MDLA9548426</t>
  </si>
  <si>
    <t>SAKPDC004283/25-26</t>
  </si>
  <si>
    <t>MDLA9548427</t>
  </si>
  <si>
    <t>SAKPDC004284/25-26</t>
  </si>
  <si>
    <t>MDLA9548428</t>
  </si>
  <si>
    <t>N251005001</t>
  </si>
  <si>
    <t>SAKPDC004285/25-26</t>
  </si>
  <si>
    <t>MDLA9548429</t>
  </si>
  <si>
    <t>SAKPDC004286/25-26</t>
  </si>
  <si>
    <t>MDLA9548430</t>
  </si>
  <si>
    <t>SAKPDC004287/25-26</t>
  </si>
  <si>
    <t>MDLA9548431</t>
  </si>
  <si>
    <t>SAKPDC004288/25-26</t>
  </si>
  <si>
    <t>MDLA9548432</t>
  </si>
  <si>
    <t>SAKPDC004289/25-26</t>
  </si>
  <si>
    <t>MDLA9548433</t>
  </si>
  <si>
    <t>VISWAMATHA</t>
  </si>
  <si>
    <t>AP39WB4829</t>
  </si>
  <si>
    <t>SATYANARAYANA</t>
  </si>
  <si>
    <t>N251005002</t>
  </si>
  <si>
    <t>SANTOSH</t>
  </si>
  <si>
    <t>AP31TT0396</t>
  </si>
  <si>
    <t>VSI SAND</t>
  </si>
  <si>
    <t>N251005003</t>
  </si>
  <si>
    <t>A RAMANA</t>
  </si>
  <si>
    <t>AP39UR1886</t>
  </si>
  <si>
    <t>SAKPDC004291/25-26</t>
  </si>
  <si>
    <t>MDLA9548435</t>
  </si>
  <si>
    <t>SAKPDC004290/25-26</t>
  </si>
  <si>
    <t>MDLA9548434</t>
  </si>
  <si>
    <t>SAKPDC004293/25-26</t>
  </si>
  <si>
    <t>MDLA9548437</t>
  </si>
  <si>
    <t>SAKPDC004292/25-26</t>
  </si>
  <si>
    <t>MDLA9548436</t>
  </si>
  <si>
    <t>SAKPDC004294/25-26</t>
  </si>
  <si>
    <t>MDLA9548438</t>
  </si>
  <si>
    <t>SAKPDC004295/25-26</t>
  </si>
  <si>
    <t>MDLA9548439</t>
  </si>
  <si>
    <t>N251005006</t>
  </si>
  <si>
    <t>N251005007</t>
  </si>
  <si>
    <t>N251006001</t>
  </si>
  <si>
    <t>N251006002</t>
  </si>
  <si>
    <t>N251006003</t>
  </si>
  <si>
    <t>AP39UA9689</t>
  </si>
  <si>
    <t>N251006005</t>
  </si>
  <si>
    <t>CHINNA RAO</t>
  </si>
  <si>
    <t>AP05CR3045</t>
  </si>
  <si>
    <t>N251006006</t>
  </si>
  <si>
    <t>RAMANA BABU</t>
  </si>
  <si>
    <t>AP39SQ8147</t>
  </si>
  <si>
    <t>SAKPDC004297/25-26</t>
  </si>
  <si>
    <t>MDLA9548440</t>
  </si>
  <si>
    <t>SAKPDC004298/25-26</t>
  </si>
  <si>
    <t>MDLA9548441</t>
  </si>
  <si>
    <t>AP39WD8259</t>
  </si>
  <si>
    <t>SAKPDC004299/25-26</t>
  </si>
  <si>
    <t>MDLA9548442</t>
  </si>
  <si>
    <t>SAKPDC004300/25-26</t>
  </si>
  <si>
    <t>MDLA9548443</t>
  </si>
  <si>
    <t>SAKPDC004301/25-26</t>
  </si>
  <si>
    <t>MDLA9548444</t>
  </si>
  <si>
    <t>AP39UD1589</t>
  </si>
  <si>
    <t>SAKPDC004302/25-26</t>
  </si>
  <si>
    <t>MDLA9548445</t>
  </si>
  <si>
    <t>SAKPDC004303/25-26</t>
  </si>
  <si>
    <t>MDLA9548446</t>
  </si>
  <si>
    <t>SAKPDC004304/25-26</t>
  </si>
  <si>
    <t>MDLA9548447</t>
  </si>
  <si>
    <t>SAKPDC004305/25-26</t>
  </si>
  <si>
    <t>MDLA9548448</t>
  </si>
  <si>
    <t>SAKPDC004306/25-26</t>
  </si>
  <si>
    <t>MDLA9548449</t>
  </si>
  <si>
    <t>SAKPDC004307/25-26</t>
  </si>
  <si>
    <t>MDLA9548450</t>
  </si>
  <si>
    <t>SAKPDC004308/25-26</t>
  </si>
  <si>
    <t>MDLA9548451</t>
  </si>
  <si>
    <t>SAKPDC004309/25-26</t>
  </si>
  <si>
    <t>MDLA9548452</t>
  </si>
  <si>
    <t>SAKPDC004310/25-26</t>
  </si>
  <si>
    <t>MDLA9548453</t>
  </si>
  <si>
    <t>SAKPDC004311/25-26</t>
  </si>
  <si>
    <t>MDLA9548454</t>
  </si>
  <si>
    <t>SAKPDC004312/25-26</t>
  </si>
  <si>
    <t>MDLA9548455</t>
  </si>
  <si>
    <t>SAKPDC004313/25-26</t>
  </si>
  <si>
    <t>MDLA9548456</t>
  </si>
  <si>
    <t>SAKPDC004314/25-26</t>
  </si>
  <si>
    <t>MDLA9548458</t>
  </si>
  <si>
    <t>SAKPDC004315/25-26</t>
  </si>
  <si>
    <t>MDLA9548459</t>
  </si>
  <si>
    <t>SAKPDC004316/25-26</t>
  </si>
  <si>
    <t>MDLA9548460</t>
  </si>
  <si>
    <t>AP39W3579</t>
  </si>
  <si>
    <t>SAKPDC004317/25-26</t>
  </si>
  <si>
    <t>MDLA9548461</t>
  </si>
  <si>
    <t>SAKPDC004318/25-26</t>
  </si>
  <si>
    <t>MDLA9548462</t>
  </si>
  <si>
    <t>SAKPDC004320/25-26</t>
  </si>
  <si>
    <t>MDLA9548464</t>
  </si>
  <si>
    <t>SAKPDC004322/25-26</t>
  </si>
  <si>
    <t>MDLA9548466</t>
  </si>
  <si>
    <t>SAKPDC004319/25-26</t>
  </si>
  <si>
    <t>MDLA9548463</t>
  </si>
  <si>
    <t>SAKPDC004321/25-26</t>
  </si>
  <si>
    <t>MDLA9548465</t>
  </si>
  <si>
    <t>SAKPDC004323/25-26</t>
  </si>
  <si>
    <t>MDLA9548467</t>
  </si>
  <si>
    <t>SAKPDC004325/25-26</t>
  </si>
  <si>
    <t>MDLA9548469</t>
  </si>
  <si>
    <t>SAKPDC004324/25-26</t>
  </si>
  <si>
    <t>MDLA9548468</t>
  </si>
  <si>
    <t>SAKPDC004326/25-26</t>
  </si>
  <si>
    <t>MDLA9548470</t>
  </si>
  <si>
    <t>SAKPDC004327/25-26</t>
  </si>
  <si>
    <t>MDLA9548471</t>
  </si>
  <si>
    <t>SAKPDC004329/25-26</t>
  </si>
  <si>
    <t>MDLA9548472</t>
  </si>
  <si>
    <t>SAKPDC004330/25-26</t>
  </si>
  <si>
    <t>MDLA9548473</t>
  </si>
  <si>
    <t>SAKPDC004332/25-26</t>
  </si>
  <si>
    <t>MDLA9548475</t>
  </si>
  <si>
    <t>SAKPDC004331/25-26</t>
  </si>
  <si>
    <t>MDLA9548474</t>
  </si>
  <si>
    <t>N251006011</t>
  </si>
  <si>
    <t>N251007001</t>
  </si>
  <si>
    <t>N251007002</t>
  </si>
  <si>
    <t>N251007003</t>
  </si>
  <si>
    <t>AP39UH8789</t>
  </si>
  <si>
    <t>N251007004</t>
  </si>
  <si>
    <t>N251007005</t>
  </si>
  <si>
    <t>N251007006</t>
  </si>
  <si>
    <t>RAMAN NAIDU B</t>
  </si>
  <si>
    <t>AP31TN3776</t>
  </si>
  <si>
    <t>N251007007</t>
  </si>
  <si>
    <t>RAMA NAIDU</t>
  </si>
  <si>
    <t>N251007008</t>
  </si>
  <si>
    <t>RAMA RAO</t>
  </si>
  <si>
    <t>N251007009</t>
  </si>
  <si>
    <t>MADHAV REDDY</t>
  </si>
  <si>
    <t>AP39WE2435</t>
  </si>
  <si>
    <t>SAKPDC004333/25-26</t>
  </si>
  <si>
    <t>MDLA9548476</t>
  </si>
  <si>
    <t>SOWAPARNIKA AVENUES INDIA PVT LTD</t>
  </si>
  <si>
    <t>AP39UJ5678</t>
  </si>
  <si>
    <t>SAKPDC004334/25-26</t>
  </si>
  <si>
    <t>MDLA9548477</t>
  </si>
  <si>
    <t>SAKPDC004335/25-26</t>
  </si>
  <si>
    <t>MDLA9548478</t>
  </si>
  <si>
    <t>SAKPDC004337/25-26</t>
  </si>
  <si>
    <t>MDLA9548480</t>
  </si>
  <si>
    <t>SAKPDC004336/25-26</t>
  </si>
  <si>
    <t>MDLA9548479</t>
  </si>
  <si>
    <t>SAKPDC004339/25-26</t>
  </si>
  <si>
    <t>MDLA9548482</t>
  </si>
  <si>
    <t>AP39WD3257</t>
  </si>
  <si>
    <t>SAKPDC004342/25-26</t>
  </si>
  <si>
    <t>MDLA9548485</t>
  </si>
  <si>
    <t>SAKPDC004338/25-26</t>
  </si>
  <si>
    <t>MDLA9548481</t>
  </si>
  <si>
    <t>SAKPDC004340/25-26</t>
  </si>
  <si>
    <t>MDLA9548483</t>
  </si>
  <si>
    <t>SAKPDC004343/25-26</t>
  </si>
  <si>
    <t>MDLA9548486</t>
  </si>
  <si>
    <t>SAKPDC004341/25-26</t>
  </si>
  <si>
    <t>MDLA9548484</t>
  </si>
  <si>
    <t>SAKPDC004346/25-26</t>
  </si>
  <si>
    <t>MDLA9548489</t>
  </si>
  <si>
    <t>SAKPDC004344/25-26</t>
  </si>
  <si>
    <t>MDLA9548487</t>
  </si>
  <si>
    <t>SAKPDC004345/25-26</t>
  </si>
  <si>
    <t>MDLA9548488</t>
  </si>
  <si>
    <t>40MM</t>
  </si>
  <si>
    <t>N251007012</t>
  </si>
  <si>
    <t>N251007013</t>
  </si>
  <si>
    <t>N251007014</t>
  </si>
  <si>
    <t>CH S N RAJU</t>
  </si>
  <si>
    <t>N251008001</t>
  </si>
  <si>
    <t>SATTIBABU GLPT</t>
  </si>
  <si>
    <t>AP39UZ5967</t>
  </si>
  <si>
    <t>N251008002</t>
  </si>
  <si>
    <t>AP39TU4469</t>
  </si>
  <si>
    <t>N251008003</t>
  </si>
  <si>
    <t>N251008004</t>
  </si>
  <si>
    <t>N251008005</t>
  </si>
  <si>
    <t>N251008006</t>
  </si>
  <si>
    <t>MAHESH</t>
  </si>
  <si>
    <t>AP39SD1670</t>
  </si>
  <si>
    <t>SAKPDC004347/25-26</t>
  </si>
  <si>
    <t>MDLA9548490</t>
  </si>
  <si>
    <t>SAKPDC004348/25-26</t>
  </si>
  <si>
    <t>MDLA9548491</t>
  </si>
  <si>
    <t>JS MINING&amp;CONSTRUCTIONS</t>
  </si>
  <si>
    <t>SAKPDC004349/25-26</t>
  </si>
  <si>
    <t>MDLA9548492</t>
  </si>
  <si>
    <t>SAKPDC004350/25-26</t>
  </si>
  <si>
    <t>MDLA9548493</t>
  </si>
  <si>
    <t>SAKPDC004351/25-26</t>
  </si>
  <si>
    <t>MDLA9548494</t>
  </si>
  <si>
    <t>SAKPDC004352/25-26</t>
  </si>
  <si>
    <t>MDLA9548495</t>
  </si>
  <si>
    <t>SAKPDC004353/25-26</t>
  </si>
  <si>
    <t>MDLA9548496</t>
  </si>
  <si>
    <t>SAKPDC004356/25-26</t>
  </si>
  <si>
    <t>MDLA9548499</t>
  </si>
  <si>
    <t>JS MINING &amp;CONSTRUCTIONS NORTH</t>
  </si>
  <si>
    <t>SAKPDC004354/25-26</t>
  </si>
  <si>
    <t>MDLA9548497</t>
  </si>
  <si>
    <t>SAKPDC004355/25-26</t>
  </si>
  <si>
    <t>MDLA9548498</t>
  </si>
  <si>
    <t>SAKPDC004357/25-26</t>
  </si>
  <si>
    <t>MDLA9548500</t>
  </si>
  <si>
    <t>Northstar Homes and Spaces</t>
  </si>
  <si>
    <t>251011004</t>
  </si>
  <si>
    <t>SAKPDC004361/25-26</t>
  </si>
  <si>
    <t>MDLA9548504</t>
  </si>
  <si>
    <t>44</t>
  </si>
  <si>
    <t>115</t>
  </si>
  <si>
    <t>60.46</t>
  </si>
  <si>
    <t>14.98</t>
  </si>
  <si>
    <t>315</t>
  </si>
  <si>
    <t/>
  </si>
  <si>
    <t>251011006</t>
  </si>
  <si>
    <t>SAKPDC004358/25-26</t>
  </si>
  <si>
    <t>MDLA9548501</t>
  </si>
  <si>
    <t>30</t>
  </si>
  <si>
    <t>41.86</t>
  </si>
  <si>
    <t>10.52</t>
  </si>
  <si>
    <t>251011007</t>
  </si>
  <si>
    <t>SAKPDC004359/25-26</t>
  </si>
  <si>
    <t>MDLA9548502</t>
  </si>
  <si>
    <t>45</t>
  </si>
  <si>
    <t>64.52</t>
  </si>
  <si>
    <t>18</t>
  </si>
  <si>
    <t>545</t>
  </si>
  <si>
    <t>251011008</t>
  </si>
  <si>
    <t>SAKPDC004360/25-26</t>
  </si>
  <si>
    <t>MDLA9548503</t>
  </si>
  <si>
    <t>43</t>
  </si>
  <si>
    <t>59.76</t>
  </si>
  <si>
    <t>15.08</t>
  </si>
  <si>
    <t>251011009</t>
  </si>
  <si>
    <t>SAKPDC004362/25-26</t>
  </si>
  <si>
    <t>MDLA9548505</t>
  </si>
  <si>
    <t>58</t>
  </si>
  <si>
    <t>77.06</t>
  </si>
  <si>
    <t>17.68</t>
  </si>
  <si>
    <t>251011010</t>
  </si>
  <si>
    <t>SAKPDC004370/25-26</t>
  </si>
  <si>
    <t>MDLA9548513</t>
  </si>
  <si>
    <t>39</t>
  </si>
  <si>
    <t>119</t>
  </si>
  <si>
    <t>M/S K V RAMANA REDDY</t>
  </si>
  <si>
    <t>50MM</t>
  </si>
  <si>
    <t>56.52</t>
  </si>
  <si>
    <t>15.52</t>
  </si>
  <si>
    <t>251011011</t>
  </si>
  <si>
    <t>SAKPDC004371/25-26</t>
  </si>
  <si>
    <t>MDLA9548514</t>
  </si>
  <si>
    <t>36</t>
  </si>
  <si>
    <t>AP39UN3335</t>
  </si>
  <si>
    <t>51.34</t>
  </si>
  <si>
    <t>13.92</t>
  </si>
  <si>
    <t>251011012</t>
  </si>
  <si>
    <t>SAKPDC004364/25-26</t>
  </si>
  <si>
    <t>MDLA9548507</t>
  </si>
  <si>
    <t>47</t>
  </si>
  <si>
    <t>AP39UM4767</t>
  </si>
  <si>
    <t>66.86</t>
  </si>
  <si>
    <t>18.16</t>
  </si>
  <si>
    <t>251011013</t>
  </si>
  <si>
    <t>SAKPDC004365/25-26</t>
  </si>
  <si>
    <t>49</t>
  </si>
  <si>
    <t>66.58</t>
  </si>
  <si>
    <t>15.68</t>
  </si>
  <si>
    <t>445</t>
  </si>
  <si>
    <t>251011014</t>
  </si>
  <si>
    <t>SAKPDC004366/25-26</t>
  </si>
  <si>
    <t>MDLA9548508</t>
  </si>
  <si>
    <t>38</t>
  </si>
  <si>
    <t>51.06</t>
  </si>
  <si>
    <t>11.76</t>
  </si>
  <si>
    <t>251011015</t>
  </si>
  <si>
    <t>SAKPDC004363/25-26</t>
  </si>
  <si>
    <t>MDLA9548506</t>
  </si>
  <si>
    <t>46</t>
  </si>
  <si>
    <t>64.04</t>
  </si>
  <si>
    <t>16.36</t>
  </si>
  <si>
    <t>251011016</t>
  </si>
  <si>
    <t>SAKPDC004368/25-26</t>
  </si>
  <si>
    <t>MDLA9548510</t>
  </si>
  <si>
    <t>41</t>
  </si>
  <si>
    <t>53.68</t>
  </si>
  <si>
    <t>12.20</t>
  </si>
  <si>
    <t>251011017</t>
  </si>
  <si>
    <t>SAKPDC004367/25-26</t>
  </si>
  <si>
    <t>MDLA9548509</t>
  </si>
  <si>
    <t>42</t>
  </si>
  <si>
    <t>58.96</t>
  </si>
  <si>
    <t>16.12</t>
  </si>
  <si>
    <t>251011018</t>
  </si>
  <si>
    <t>SAKPDC004369/25-26</t>
  </si>
  <si>
    <t>MDLA9548511</t>
  </si>
  <si>
    <t>58.20</t>
  </si>
  <si>
    <t>15.98</t>
  </si>
  <si>
    <t>251011019</t>
  </si>
  <si>
    <t>SAKPDC004373/25-26</t>
  </si>
  <si>
    <t>MDLA9548516</t>
  </si>
  <si>
    <t>31</t>
  </si>
  <si>
    <t>45.1</t>
  </si>
  <si>
    <t>11.80</t>
  </si>
  <si>
    <t>251011020</t>
  </si>
  <si>
    <t>SAKPDC004374/25-26</t>
  </si>
  <si>
    <t>MDLA9548517</t>
  </si>
  <si>
    <t>AP39WE3339</t>
  </si>
  <si>
    <t>45.14</t>
  </si>
  <si>
    <t>11.94</t>
  </si>
  <si>
    <t>251011021</t>
  </si>
  <si>
    <t>SAKPDC004372/25-26</t>
  </si>
  <si>
    <t>MDLA9548515</t>
  </si>
  <si>
    <t>AP39UV2345</t>
  </si>
  <si>
    <t>54.34</t>
  </si>
  <si>
    <t>14.30</t>
  </si>
  <si>
    <t>251011023</t>
  </si>
  <si>
    <t>SAKPDC004375/25-26</t>
  </si>
  <si>
    <t>MDLA9548518</t>
  </si>
  <si>
    <t>44.2</t>
  </si>
  <si>
    <t>11.86</t>
  </si>
  <si>
    <t>N251011001</t>
  </si>
  <si>
    <t>8.60</t>
  </si>
  <si>
    <t>3.54</t>
  </si>
  <si>
    <t>150</t>
  </si>
  <si>
    <t>759</t>
  </si>
  <si>
    <t>251011024</t>
  </si>
  <si>
    <t>SAKPDC004377/25-26</t>
  </si>
  <si>
    <t>MDLA9548520</t>
  </si>
  <si>
    <t>AP39UN7749</t>
  </si>
  <si>
    <t>44.24</t>
  </si>
  <si>
    <t>12.30</t>
  </si>
  <si>
    <t>251011025</t>
  </si>
  <si>
    <t>SAKPDC004376/25-26</t>
  </si>
  <si>
    <t>MDLA9548519</t>
  </si>
  <si>
    <t>21</t>
  </si>
  <si>
    <t>36.02</t>
  </si>
  <si>
    <t>14.26</t>
  </si>
  <si>
    <t>420</t>
  </si>
  <si>
    <t>251011026</t>
  </si>
  <si>
    <t>SAKPDC004379/25-26</t>
  </si>
  <si>
    <t>MDLA9548522</t>
  </si>
  <si>
    <t>64.40</t>
  </si>
  <si>
    <t>15.54</t>
  </si>
  <si>
    <t>251011027</t>
  </si>
  <si>
    <t>SAKPDC004378/25-26</t>
  </si>
  <si>
    <t>MDLA9548521</t>
  </si>
  <si>
    <t>36.7</t>
  </si>
  <si>
    <t>14.42</t>
  </si>
  <si>
    <t>620</t>
  </si>
  <si>
    <t>N251011006</t>
  </si>
  <si>
    <t>SUBBU</t>
  </si>
  <si>
    <t>AP31Y8201</t>
  </si>
  <si>
    <t>8.32</t>
  </si>
  <si>
    <t>3.34</t>
  </si>
  <si>
    <t>747</t>
  </si>
  <si>
    <t>N251011007</t>
  </si>
  <si>
    <t>7.96</t>
  </si>
  <si>
    <t>693</t>
  </si>
  <si>
    <t>251011028</t>
  </si>
  <si>
    <t>SAKPDC004380/25-26</t>
  </si>
  <si>
    <t>MDLA9548523</t>
  </si>
  <si>
    <t>59.20</t>
  </si>
  <si>
    <t>15.86</t>
  </si>
  <si>
    <t>251011029</t>
  </si>
  <si>
    <t>SAKPDC004381/25-26</t>
  </si>
  <si>
    <t>MDLA9548524</t>
  </si>
  <si>
    <t>AP39WC5225</t>
  </si>
  <si>
    <t>63.26</t>
  </si>
  <si>
    <t>18.62</t>
  </si>
  <si>
    <t>251011030</t>
  </si>
  <si>
    <t>SAKPDC004382/25-26</t>
  </si>
  <si>
    <t>MDLA9548525</t>
  </si>
  <si>
    <t>48.96</t>
  </si>
  <si>
    <t>11.58</t>
  </si>
  <si>
    <t>251011031</t>
  </si>
  <si>
    <t>SAKPDC004386/25-26</t>
  </si>
  <si>
    <t>MDLA9548529</t>
  </si>
  <si>
    <t>60.16</t>
  </si>
  <si>
    <t>15.92</t>
  </si>
  <si>
    <t>251011032</t>
  </si>
  <si>
    <t>SAKPDC004383/25-26</t>
  </si>
  <si>
    <t>MDLA9548526</t>
  </si>
  <si>
    <t>AP39WE9299</t>
  </si>
  <si>
    <t>60.26</t>
  </si>
  <si>
    <t>15.74</t>
  </si>
  <si>
    <t>251011033</t>
  </si>
  <si>
    <t>SAKPDC004384/25-26</t>
  </si>
  <si>
    <t>MDLA9548527</t>
  </si>
  <si>
    <t>52.40</t>
  </si>
  <si>
    <t>11.74</t>
  </si>
  <si>
    <t>251011034</t>
  </si>
  <si>
    <t>SAKPDC004385/25-26</t>
  </si>
  <si>
    <t>MDLA9548528</t>
  </si>
  <si>
    <t>52.50</t>
  </si>
  <si>
    <t>12.62</t>
  </si>
  <si>
    <t>251011035</t>
  </si>
  <si>
    <t>SAKPDC004387/25-26</t>
  </si>
  <si>
    <t>MDLA9548530</t>
  </si>
  <si>
    <t>48</t>
  </si>
  <si>
    <t>65.22</t>
  </si>
  <si>
    <t>15.76</t>
  </si>
  <si>
    <t>251011036</t>
  </si>
  <si>
    <t>SAKPDC004388/25-26</t>
  </si>
  <si>
    <t>MDLA9548531</t>
  </si>
  <si>
    <t>14.94</t>
  </si>
  <si>
    <t>251011038</t>
  </si>
  <si>
    <t>SAKPDC004389/25-26</t>
  </si>
  <si>
    <t>MDLA9548532</t>
  </si>
  <si>
    <t>64.80</t>
  </si>
  <si>
    <t>251011039</t>
  </si>
  <si>
    <t>SAKPDC004390/25-26</t>
  </si>
  <si>
    <t>MDLA9548533</t>
  </si>
  <si>
    <t>59.60</t>
  </si>
  <si>
    <t>15.78</t>
  </si>
  <si>
    <t>251011037</t>
  </si>
  <si>
    <t>SAKPDC004391/25-26</t>
  </si>
  <si>
    <t>MDLA9548534</t>
  </si>
  <si>
    <t>63.66</t>
  </si>
  <si>
    <t>16.34</t>
  </si>
  <si>
    <t>251011040</t>
  </si>
  <si>
    <t>SAKPDC004392/25-26</t>
  </si>
  <si>
    <t>MDLA9548535</t>
  </si>
  <si>
    <t>15.00</t>
  </si>
  <si>
    <t>251011041</t>
  </si>
  <si>
    <t>SAKPDC004393/25-26</t>
  </si>
  <si>
    <t>MDLA9548536</t>
  </si>
  <si>
    <t>54.06</t>
  </si>
  <si>
    <t>12.18</t>
  </si>
  <si>
    <t>251011042</t>
  </si>
  <si>
    <t>SAKPDC004394/25-26</t>
  </si>
  <si>
    <t>MDLA9548537</t>
  </si>
  <si>
    <t>65.54</t>
  </si>
  <si>
    <t>16.10</t>
  </si>
  <si>
    <t>251011046</t>
  </si>
  <si>
    <t>SAKPDC004395/25-26</t>
  </si>
  <si>
    <t>MDLA9548538</t>
  </si>
  <si>
    <t>41.74</t>
  </si>
  <si>
    <t>10.58</t>
  </si>
  <si>
    <t>251011045</t>
  </si>
  <si>
    <t>SAKPDC004396/25-26</t>
  </si>
  <si>
    <t>MDLA9548539</t>
  </si>
  <si>
    <t>35</t>
  </si>
  <si>
    <t>47.28</t>
  </si>
  <si>
    <t>251011043</t>
  </si>
  <si>
    <t>SAKPDC004397/25-26</t>
  </si>
  <si>
    <t>MDLA9548540</t>
  </si>
  <si>
    <t>59.02</t>
  </si>
  <si>
    <t>15.18</t>
  </si>
  <si>
    <t>251011047</t>
  </si>
  <si>
    <t>SAKPDC004398/25-26</t>
  </si>
  <si>
    <t>MDLA9548541</t>
  </si>
  <si>
    <t>51</t>
  </si>
  <si>
    <t>69.50</t>
  </si>
  <si>
    <t>17.54</t>
  </si>
  <si>
    <t>251011044</t>
  </si>
  <si>
    <t>SAKPDC004399/25-26</t>
  </si>
  <si>
    <t>MDLA9548542</t>
  </si>
  <si>
    <t>50</t>
  </si>
  <si>
    <t>66.28</t>
  </si>
  <si>
    <t>15.94</t>
  </si>
  <si>
    <t>251012001</t>
  </si>
  <si>
    <t>SAKPDC004400/25-26</t>
  </si>
  <si>
    <t>MDLA9548543</t>
  </si>
  <si>
    <t>52</t>
  </si>
  <si>
    <t>68.86</t>
  </si>
  <si>
    <t>16.16</t>
  </si>
  <si>
    <t>251012002</t>
  </si>
  <si>
    <t>SAKPDC004401/25-26</t>
  </si>
  <si>
    <t>MDLA9548544</t>
  </si>
  <si>
    <t>50.20</t>
  </si>
  <si>
    <t>11.84</t>
  </si>
  <si>
    <t>251012006</t>
  </si>
  <si>
    <t>SAKPDC004404/25-26</t>
  </si>
  <si>
    <t>MDLA9548545</t>
  </si>
  <si>
    <t>59.86</t>
  </si>
  <si>
    <t>15.84</t>
  </si>
  <si>
    <t>251012004</t>
  </si>
  <si>
    <t>SAKPDC004405/25-26</t>
  </si>
  <si>
    <t>MDLA9548546</t>
  </si>
  <si>
    <t>64.66</t>
  </si>
  <si>
    <t>15.56</t>
  </si>
  <si>
    <t>251012007</t>
  </si>
  <si>
    <t>SAKPDC004406/25-26</t>
  </si>
  <si>
    <t>MDLA9548547</t>
  </si>
  <si>
    <t>65.52</t>
  </si>
  <si>
    <t>251012003</t>
  </si>
  <si>
    <t>SAKPDC004403/25-26</t>
  </si>
  <si>
    <t>MDLA9548548</t>
  </si>
  <si>
    <t>51.80</t>
  </si>
  <si>
    <t>12.42</t>
  </si>
  <si>
    <t>251012005</t>
  </si>
  <si>
    <t>SAKPDC004407/25-26</t>
  </si>
  <si>
    <t>MDLA9548549</t>
  </si>
  <si>
    <t>58.94</t>
  </si>
  <si>
    <t>N251012002</t>
  </si>
  <si>
    <t>SAI KUMAR</t>
  </si>
  <si>
    <t>AP30AR1729</t>
  </si>
  <si>
    <t>9.1</t>
  </si>
  <si>
    <t>3.44</t>
  </si>
  <si>
    <t>140</t>
  </si>
  <si>
    <t>800</t>
  </si>
  <si>
    <t>SAKPDC004408/25-26</t>
  </si>
  <si>
    <t>MDLA9548550</t>
  </si>
  <si>
    <t>SIRICON INDUSTRIAL MANAGEMENT SERVICE PVT LTD</t>
  </si>
  <si>
    <t>SAKPDC004409/25-26</t>
  </si>
  <si>
    <t>MDLA9548551</t>
  </si>
  <si>
    <t>SAKPDC004410/25-26</t>
  </si>
  <si>
    <t>MDLA9548552</t>
  </si>
  <si>
    <t>SAKPDC004411/25-26</t>
  </si>
  <si>
    <t>MDLA9548553</t>
  </si>
  <si>
    <t>N251012003</t>
  </si>
  <si>
    <t>T JAGAN</t>
  </si>
  <si>
    <t>AP16DF3086</t>
  </si>
  <si>
    <t>N251012004</t>
  </si>
  <si>
    <t>AP31TG0618</t>
  </si>
  <si>
    <t>N251012005</t>
  </si>
  <si>
    <t>DEMMULU</t>
  </si>
  <si>
    <t>AP39T4639</t>
  </si>
  <si>
    <t>N251012006</t>
  </si>
  <si>
    <t>CHINNA</t>
  </si>
  <si>
    <t>AP39U1245</t>
  </si>
  <si>
    <t>N251012010</t>
  </si>
  <si>
    <t>APPARAO</t>
  </si>
  <si>
    <t>AP39UJ4541</t>
  </si>
  <si>
    <t>N251012011</t>
  </si>
  <si>
    <t>RAMESH</t>
  </si>
  <si>
    <t>AP26AM5911</t>
  </si>
  <si>
    <t>SAKPDC004412/25-26</t>
  </si>
  <si>
    <t>MDLA9548554</t>
  </si>
  <si>
    <t>N251012012</t>
  </si>
  <si>
    <t>SAKPDC004413/25-26</t>
  </si>
  <si>
    <t>MDLA9548555</t>
  </si>
  <si>
    <t>N251012013</t>
  </si>
  <si>
    <t>N251012014</t>
  </si>
  <si>
    <t>N251012015</t>
  </si>
  <si>
    <t>N251012016</t>
  </si>
  <si>
    <t>SAKPDC004414/25-26</t>
  </si>
  <si>
    <t>MDLA9548556</t>
  </si>
  <si>
    <t>SAKPDC004415/25-26</t>
  </si>
  <si>
    <t>MDLA9548557</t>
  </si>
  <si>
    <t>SAKPDC004416/25-26</t>
  </si>
  <si>
    <t>MDLA9548558</t>
  </si>
  <si>
    <t>SAKPDC004418/25-26</t>
  </si>
  <si>
    <t>MDLA9548560</t>
  </si>
  <si>
    <t>SAKPDC004417/25-26</t>
  </si>
  <si>
    <t>MDLA9548559</t>
  </si>
  <si>
    <t>SAKPDC004419/25-26</t>
  </si>
  <si>
    <t>MDLA9548561</t>
  </si>
  <si>
    <t>SAKPDC004420/25-26</t>
  </si>
  <si>
    <t>MDLA9548562</t>
  </si>
  <si>
    <t>N251012017</t>
  </si>
  <si>
    <t>NOOKANAIDU</t>
  </si>
  <si>
    <t>AP39TN8913</t>
  </si>
  <si>
    <t>N251012018</t>
  </si>
  <si>
    <t>N251012019</t>
  </si>
  <si>
    <t>AP35U1245</t>
  </si>
  <si>
    <t>N251012020</t>
  </si>
  <si>
    <t>AP39TA1729</t>
  </si>
  <si>
    <t>N251012021</t>
  </si>
  <si>
    <t>N251012022</t>
  </si>
  <si>
    <t>N251012024</t>
  </si>
  <si>
    <t>AP39TH8913</t>
  </si>
  <si>
    <t>N251012025</t>
  </si>
  <si>
    <t>N251012026</t>
  </si>
  <si>
    <t>N251012027</t>
  </si>
  <si>
    <t>NAIDU</t>
  </si>
  <si>
    <t>AP31Y0266</t>
  </si>
  <si>
    <t>N251012028</t>
  </si>
  <si>
    <t>AP30TA1729</t>
  </si>
  <si>
    <t>N251012029</t>
  </si>
  <si>
    <t>SAKPDC004422/25-26</t>
  </si>
  <si>
    <t>MDLA9548566</t>
  </si>
  <si>
    <t>SAKPDC004421/25-26</t>
  </si>
  <si>
    <t>MDLA9548563</t>
  </si>
  <si>
    <t>SAKPDC004423/25-26</t>
  </si>
  <si>
    <t>MDLA9548564</t>
  </si>
  <si>
    <t>SAKPDC004424/25-26</t>
  </si>
  <si>
    <t>MDLA9548565</t>
  </si>
  <si>
    <t>SAKPDC004425/25-26</t>
  </si>
  <si>
    <t>MDLA9548567</t>
  </si>
  <si>
    <t>N251013001</t>
  </si>
  <si>
    <t>B.SWAMI</t>
  </si>
  <si>
    <t>N251014001</t>
  </si>
  <si>
    <t>SAKPDC004426/25-26</t>
  </si>
  <si>
    <t>MDLA9548568</t>
  </si>
  <si>
    <t>SAKPDC004427/25-26</t>
  </si>
  <si>
    <t>MDLA9548569</t>
  </si>
  <si>
    <t>SAKPDC004428/25-26</t>
  </si>
  <si>
    <t>MDLA9548570</t>
  </si>
  <si>
    <t>SAKPDC004429/25-26</t>
  </si>
  <si>
    <t>MDLA9548571</t>
  </si>
  <si>
    <t>SAKPDC004430/25-26</t>
  </si>
  <si>
    <t>MDLA9548572</t>
  </si>
  <si>
    <t>SAKPDC004432/25-26</t>
  </si>
  <si>
    <t>MDLA9548574</t>
  </si>
  <si>
    <t>SAKPDC004431/25-26</t>
  </si>
  <si>
    <t>MDLA9548573</t>
  </si>
  <si>
    <t>AP31TN1166</t>
  </si>
  <si>
    <t>SAKPDC004433/25-26</t>
  </si>
  <si>
    <t>MDLA9548575</t>
  </si>
  <si>
    <t>SAKPDC004435/25-26</t>
  </si>
  <si>
    <t>MDLA9548576</t>
  </si>
  <si>
    <t>SAKPDC004436/25-26</t>
  </si>
  <si>
    <t>MDLA9548577</t>
  </si>
  <si>
    <t>SAKPDC004437/25-26</t>
  </si>
  <si>
    <t>MDLA9548578</t>
  </si>
  <si>
    <t>SAKPDC004438/25-26</t>
  </si>
  <si>
    <t>MDLA9548579</t>
  </si>
  <si>
    <t>SAKPDC004439/25-26</t>
  </si>
  <si>
    <t>MDLA9548580</t>
  </si>
  <si>
    <t>SAKPDC004440/25-26</t>
  </si>
  <si>
    <t>MDLA9548581</t>
  </si>
  <si>
    <t>SAKPDC004454/25-26</t>
  </si>
  <si>
    <t>MDLA9548595</t>
  </si>
  <si>
    <t>SAKPDC004441/25-26</t>
  </si>
  <si>
    <t>MDLA9548582</t>
  </si>
  <si>
    <t>SAKPDC004442/25-26</t>
  </si>
  <si>
    <t>MDLA9548583</t>
  </si>
  <si>
    <t>SAKPDC004443/25-26</t>
  </si>
  <si>
    <t>MDLA9548584</t>
  </si>
  <si>
    <t>SAKPDC004444/25-26</t>
  </si>
  <si>
    <t>MDLA9548585</t>
  </si>
  <si>
    <t>SAKPDC004445/25-26</t>
  </si>
  <si>
    <t>MDLA9548586</t>
  </si>
  <si>
    <t>SAKPDC004446/25-26</t>
  </si>
  <si>
    <t>MDLA9548587</t>
  </si>
  <si>
    <t>SAKPDC004447/25-26</t>
  </si>
  <si>
    <t>MDLA9548588</t>
  </si>
  <si>
    <t>SAKPDC004448/25-26</t>
  </si>
  <si>
    <t>MDLA9548589</t>
  </si>
  <si>
    <t>SAKPDC004449/25-26</t>
  </si>
  <si>
    <t>MDLA9548590</t>
  </si>
  <si>
    <t>SAKPDC004453/25-26</t>
  </si>
  <si>
    <t>MDLA9548594</t>
  </si>
  <si>
    <t>SAKPDC004450/25-26</t>
  </si>
  <si>
    <t>MDLA9548591</t>
  </si>
  <si>
    <t>SAKPDC004451/25-26</t>
  </si>
  <si>
    <t>MDLA9548592</t>
  </si>
  <si>
    <t>SAKPDC004452/25-26</t>
  </si>
  <si>
    <t>MDLA9548593</t>
  </si>
  <si>
    <t>SAKPDC004455/25-26</t>
  </si>
  <si>
    <t>MDLA9548596</t>
  </si>
  <si>
    <t>SAKPDC004456/25-26</t>
  </si>
  <si>
    <t>MDLA9548597</t>
  </si>
  <si>
    <t>N251015002</t>
  </si>
  <si>
    <t>N251015003</t>
  </si>
  <si>
    <t>SAPTAGIRI MINERALS</t>
  </si>
  <si>
    <t>AP39WJ5869</t>
  </si>
  <si>
    <t>SAKPDC004457/25-26</t>
  </si>
  <si>
    <t>MDLA9548598</t>
  </si>
  <si>
    <t>SAKPDC004458/25-26</t>
  </si>
  <si>
    <t>MDLA9548599</t>
  </si>
  <si>
    <t>SAKPDC004459/25-26</t>
  </si>
  <si>
    <t>MDLA9548600</t>
  </si>
  <si>
    <t>SAKPDC004460/25-26</t>
  </si>
  <si>
    <t>MDLA9548601</t>
  </si>
  <si>
    <t>SAKPDC004461/25-26</t>
  </si>
  <si>
    <t>MDLA9548602</t>
  </si>
  <si>
    <t>SAKPDC004462/25-26</t>
  </si>
  <si>
    <t>MDLA9548603</t>
  </si>
  <si>
    <t>SAKPDC004463/25-26</t>
  </si>
  <si>
    <t>MDLA9548604</t>
  </si>
  <si>
    <t>SAKPDC004464/25-26</t>
  </si>
  <si>
    <t>MDLA9548605</t>
  </si>
  <si>
    <t>SAKPDC004465/25-26</t>
  </si>
  <si>
    <t>MDLA9548606</t>
  </si>
  <si>
    <t>SAKPDC004466/25-26</t>
  </si>
  <si>
    <t>MDLA9548607</t>
  </si>
  <si>
    <t>SAKPDC004467/25-26</t>
  </si>
  <si>
    <t>MDLA9548608</t>
  </si>
  <si>
    <t>SAKPDC004468/25-26</t>
  </si>
  <si>
    <t>MDLA9548609</t>
  </si>
  <si>
    <t>SAKPDC004469/25-26</t>
  </si>
  <si>
    <t>MDLA9548610</t>
  </si>
  <si>
    <t>N251015005</t>
  </si>
  <si>
    <t>N251015006</t>
  </si>
  <si>
    <t>SURIBABU</t>
  </si>
  <si>
    <t>AP31U6047</t>
  </si>
  <si>
    <t>N251015007</t>
  </si>
  <si>
    <t>AP31TG5432</t>
  </si>
  <si>
    <t>N251015008</t>
  </si>
  <si>
    <t>SAKPDC004470/25-26</t>
  </si>
  <si>
    <t>MDLA9548611</t>
  </si>
  <si>
    <t>N251015011</t>
  </si>
  <si>
    <t>N251015013</t>
  </si>
  <si>
    <t>SAKPDC004471/25-26</t>
  </si>
  <si>
    <t>MDLA9548612</t>
  </si>
  <si>
    <t>SAKPDC004472/25-26</t>
  </si>
  <si>
    <t>MDLA9548613</t>
  </si>
  <si>
    <t>SAKPDC004473/25-26</t>
  </si>
  <si>
    <t>MDLA9548614</t>
  </si>
  <si>
    <t>SAKPDC004474/25-26</t>
  </si>
  <si>
    <t>MDLA9548615</t>
  </si>
  <si>
    <t>SAKPDC004475/25-26</t>
  </si>
  <si>
    <t>MDLA9548616</t>
  </si>
  <si>
    <t>SAKPDC004476/25-26</t>
  </si>
  <si>
    <t>MDLA9548617</t>
  </si>
  <si>
    <t>SAKPDC004477/25-26</t>
  </si>
  <si>
    <t>MDLA9548618</t>
  </si>
  <si>
    <t>SAKPDC004478/25-26</t>
  </si>
  <si>
    <t>MDLA9548619</t>
  </si>
  <si>
    <t>SAKPDC004479/25-26</t>
  </si>
  <si>
    <t>MDLA9548620</t>
  </si>
  <si>
    <t>SAKPDC004480/25-26</t>
  </si>
  <si>
    <t>MDLA9548621</t>
  </si>
  <si>
    <t>SAKPDC004481/25-26</t>
  </si>
  <si>
    <t>MDLA9548622</t>
  </si>
  <si>
    <t>SAKPDC004482/25-26</t>
  </si>
  <si>
    <t>MDLA9548623</t>
  </si>
  <si>
    <t>SAKPDC004483/25-26</t>
  </si>
  <si>
    <t>MDLA9548624</t>
  </si>
  <si>
    <t>SAKPDC004484/25-26</t>
  </si>
  <si>
    <t>MDLA9548625</t>
  </si>
  <si>
    <t>SAKPDC004485/25-26</t>
  </si>
  <si>
    <t>MDLA9548626</t>
  </si>
  <si>
    <t>SAKPDC004486/25-26</t>
  </si>
  <si>
    <t>MDLA9548627</t>
  </si>
  <si>
    <t>SAKPDC004487/25-26</t>
  </si>
  <si>
    <t>MDLA9548628</t>
  </si>
  <si>
    <t>N251016002</t>
  </si>
  <si>
    <t>N251016003</t>
  </si>
  <si>
    <t>AP31TM1568</t>
  </si>
  <si>
    <t>N251016004</t>
  </si>
  <si>
    <t>SURI BABU</t>
  </si>
  <si>
    <t>AP31TM1889</t>
  </si>
  <si>
    <t>N251016005</t>
  </si>
  <si>
    <t>N251016006</t>
  </si>
  <si>
    <t>SAKPDC004488/25-26</t>
  </si>
  <si>
    <t>MDLA9548632</t>
  </si>
  <si>
    <t>SAKPDC004490/25-26</t>
  </si>
  <si>
    <t>MDLA9548630</t>
  </si>
  <si>
    <t>SAKPDC004491/25-26</t>
  </si>
  <si>
    <t>MDLA9548631</t>
  </si>
  <si>
    <t>SAKPDC004492/25-26</t>
  </si>
  <si>
    <t>MDLA9548633</t>
  </si>
  <si>
    <t>SAKPDC004493/25-26</t>
  </si>
  <si>
    <t>MDLA9548634</t>
  </si>
  <si>
    <t>SAKPDC004489/25-26</t>
  </si>
  <si>
    <t>MDLA9548629</t>
  </si>
  <si>
    <t>N251016007</t>
  </si>
  <si>
    <t>N251016008</t>
  </si>
  <si>
    <t>N251016009</t>
  </si>
  <si>
    <t>SAKPDC004494/25-26</t>
  </si>
  <si>
    <t>MDLA9548635</t>
  </si>
  <si>
    <t>N251016013</t>
  </si>
  <si>
    <t>TEJA HELPER</t>
  </si>
  <si>
    <t>AP40FR1552</t>
  </si>
  <si>
    <t>N251016014</t>
  </si>
  <si>
    <t>N251016015</t>
  </si>
  <si>
    <t>N251016016</t>
  </si>
  <si>
    <t>SAKPDC004495/25-26</t>
  </si>
  <si>
    <t>MDLA9548636</t>
  </si>
  <si>
    <t>Arvind Infra Tech Pvt Ltd</t>
  </si>
  <si>
    <t>SAKPDC004496/25-26</t>
  </si>
  <si>
    <t>MDLA9548637</t>
  </si>
  <si>
    <t>SAKPDC004497/25-26</t>
  </si>
  <si>
    <t>MDLA9548638</t>
  </si>
  <si>
    <t>SAKPDC004498/25-26</t>
  </si>
  <si>
    <t>MDLA9548639</t>
  </si>
  <si>
    <t>SAKPDC004500/25-26</t>
  </si>
  <si>
    <t>MDLA9548641</t>
  </si>
  <si>
    <t>SAKPDC004499/25-26</t>
  </si>
  <si>
    <t>MDLA9548640</t>
  </si>
  <si>
    <t>SAKPDC004501/25-26</t>
  </si>
  <si>
    <t>MDLA9548642</t>
  </si>
  <si>
    <t>SAKPDC004502/25-26</t>
  </si>
  <si>
    <t>MDLA9548643</t>
  </si>
  <si>
    <t>SAKPDC004503/25-26</t>
  </si>
  <si>
    <t>MDLA9548644</t>
  </si>
  <si>
    <t>SAKPDC004504/25-26</t>
  </si>
  <si>
    <t>MDLA9548645</t>
  </si>
  <si>
    <t>SAKPDC004505/25-26</t>
  </si>
  <si>
    <t>MDLA9548646</t>
  </si>
  <si>
    <t>SAKPDC004506/25-26</t>
  </si>
  <si>
    <t>MDLA9548647</t>
  </si>
  <si>
    <t>SAKPDC004507/25-26</t>
  </si>
  <si>
    <t>MDLA9548648</t>
  </si>
  <si>
    <t>SAKPDC004508/25-26</t>
  </si>
  <si>
    <t>MDLA9548649</t>
  </si>
  <si>
    <t>SAKPDC004509/25-26</t>
  </si>
  <si>
    <t>MDLA9548650</t>
  </si>
  <si>
    <t>SAKPDC004510/25-26</t>
  </si>
  <si>
    <t>MDLA9548651</t>
  </si>
  <si>
    <t>SAKPDC004511/25-26</t>
  </si>
  <si>
    <t>MDLA9548652</t>
  </si>
  <si>
    <t>SAKPDC004512/25-26</t>
  </si>
  <si>
    <t>MDLA9548653</t>
  </si>
  <si>
    <t>SAKPDC004513/25-26</t>
  </si>
  <si>
    <t>MDLA9548654</t>
  </si>
  <si>
    <t>AP39VC5999</t>
  </si>
  <si>
    <t>SAKPDC004514/25-26</t>
  </si>
  <si>
    <t>MDLA9548655</t>
  </si>
  <si>
    <t>SAKPDC004515/25-26</t>
  </si>
  <si>
    <t>MDLA9548656</t>
  </si>
  <si>
    <t>SAKPDC004516/25-26</t>
  </si>
  <si>
    <t>MDLA9548657</t>
  </si>
  <si>
    <t>SAKPDC004517/25-26</t>
  </si>
  <si>
    <t>MDLA9548658</t>
  </si>
  <si>
    <t>AP39UD2345</t>
  </si>
  <si>
    <t>SAKPDC004518/25-26</t>
  </si>
  <si>
    <t>MDLA9548659</t>
  </si>
  <si>
    <t>SAKPDC004519/25-26</t>
  </si>
  <si>
    <t>MDLA9548660</t>
  </si>
  <si>
    <t>SAKPDC004520/25-26</t>
  </si>
  <si>
    <t>MDLA9548661</t>
  </si>
  <si>
    <t>SAKPDC004521/25-26</t>
  </si>
  <si>
    <t>MDLA9548662</t>
  </si>
  <si>
    <t>SAKPDC004523/25-26</t>
  </si>
  <si>
    <t>MDLA9548664</t>
  </si>
  <si>
    <t>AP39WD3389</t>
  </si>
  <si>
    <t>SAKPDC004522/25-26</t>
  </si>
  <si>
    <t>MDLA9548663</t>
  </si>
  <si>
    <t>SAKPDC004524/25-26</t>
  </si>
  <si>
    <t>MDLA9548665</t>
  </si>
  <si>
    <t>SAKPDC004526/25-26</t>
  </si>
  <si>
    <t>MDLA9548667</t>
  </si>
  <si>
    <t>SAKPDC004525/25-26</t>
  </si>
  <si>
    <t>MDLA9548666</t>
  </si>
  <si>
    <t>SAKPDC004527/25-26</t>
  </si>
  <si>
    <t>MDLA9548668</t>
  </si>
  <si>
    <t>SAKPDC004528/25-26</t>
  </si>
  <si>
    <t>MDLA9548669</t>
  </si>
  <si>
    <t>N251017001</t>
  </si>
  <si>
    <t>N251017002</t>
  </si>
  <si>
    <t>N251017003</t>
  </si>
  <si>
    <t>SAKPDC004529/25-26</t>
  </si>
  <si>
    <t>MDLA9548670</t>
  </si>
  <si>
    <t>SAKPDC004530/25-26</t>
  </si>
  <si>
    <t>MDLA9548671</t>
  </si>
  <si>
    <t>SAKPDC004531/25-26</t>
  </si>
  <si>
    <t>MDLA9548672</t>
  </si>
  <si>
    <t>N251017004</t>
  </si>
  <si>
    <t>SAKPDC004532/25-26</t>
  </si>
  <si>
    <t>MDLA9548673</t>
  </si>
  <si>
    <t>SAKPDC004534/25-26</t>
  </si>
  <si>
    <t>MDLA9548675</t>
  </si>
  <si>
    <t>SAKPDC004533/25-26</t>
  </si>
  <si>
    <t>MDLA9548674</t>
  </si>
  <si>
    <t>AP39UN5559</t>
  </si>
  <si>
    <t>N251017005</t>
  </si>
  <si>
    <t>B SURI APPA RAO</t>
  </si>
  <si>
    <t>AP30TC3056</t>
  </si>
  <si>
    <t>N251017006</t>
  </si>
  <si>
    <t>S SHYAMAL RAO</t>
  </si>
  <si>
    <t>AP39WH8420</t>
  </si>
  <si>
    <t>N251017007</t>
  </si>
  <si>
    <t>N251017008</t>
  </si>
  <si>
    <t>AP31TU6047</t>
  </si>
  <si>
    <t>N251017009</t>
  </si>
  <si>
    <t>SAKPDC004535/25-26</t>
  </si>
  <si>
    <t>MDLA9548676</t>
  </si>
  <si>
    <t>SAKPDC004536/25-26</t>
  </si>
  <si>
    <t>MDLA9548677</t>
  </si>
  <si>
    <t>AP39UF1266</t>
  </si>
  <si>
    <t>SAKPDC004537/25-26</t>
  </si>
  <si>
    <t>MDLA9548678</t>
  </si>
  <si>
    <t>AP39UN3899</t>
  </si>
  <si>
    <t>N251017010</t>
  </si>
  <si>
    <t>N251017011</t>
  </si>
  <si>
    <t>N251017012</t>
  </si>
  <si>
    <t>N251017013</t>
  </si>
  <si>
    <t>N251017014</t>
  </si>
  <si>
    <t>SAKPDC004538/25-26</t>
  </si>
  <si>
    <t>MDLA9548679</t>
  </si>
  <si>
    <t>N251017015</t>
  </si>
  <si>
    <t>N251017016</t>
  </si>
  <si>
    <t>N251017017</t>
  </si>
  <si>
    <t>N251017018</t>
  </si>
  <si>
    <t>SAKPDC004539/25-26</t>
  </si>
  <si>
    <t>MDLA9548680</t>
  </si>
  <si>
    <t>SAKPDC004540/25-26</t>
  </si>
  <si>
    <t>MDLA9548681</t>
  </si>
  <si>
    <t>SAKPDC004541/25-26</t>
  </si>
  <si>
    <t>MDLA9548682</t>
  </si>
  <si>
    <t>SAKPDC004542/25-26</t>
  </si>
  <si>
    <t>MDLA9548683</t>
  </si>
  <si>
    <t>SAKPDC004543/25-26</t>
  </si>
  <si>
    <t>MDLA9548684</t>
  </si>
  <si>
    <t>SAKPDC004544/25-26</t>
  </si>
  <si>
    <t>MDLA9548685</t>
  </si>
  <si>
    <t>SAKPDC004545/25-26</t>
  </si>
  <si>
    <t>MDLA9548687</t>
  </si>
  <si>
    <t>N251018001</t>
  </si>
  <si>
    <t>SAKPDC004546/25-26</t>
  </si>
  <si>
    <t>MDLA9548688</t>
  </si>
  <si>
    <t>SAKPDC004550/25-26</t>
  </si>
  <si>
    <t>MDLA9548692</t>
  </si>
  <si>
    <t>SAKPDC004551/25-26</t>
  </si>
  <si>
    <t>MDLA9548693</t>
  </si>
  <si>
    <t>SAKPDC004547/25-26</t>
  </si>
  <si>
    <t>MDLA9548689</t>
  </si>
  <si>
    <t>SAKPDC004553/25-26</t>
  </si>
  <si>
    <t>MDLA9548695</t>
  </si>
  <si>
    <t>SAKPDC004548/25-26</t>
  </si>
  <si>
    <t>MDLA9548690</t>
  </si>
  <si>
    <t>SAKPDC004549/25-26</t>
  </si>
  <si>
    <t>MDLA9548691</t>
  </si>
  <si>
    <t>N251018003</t>
  </si>
  <si>
    <t>JAGAN</t>
  </si>
  <si>
    <t>N251018004</t>
  </si>
  <si>
    <t>N251018005</t>
  </si>
  <si>
    <t>SAKPDC004552/25-26</t>
  </si>
  <si>
    <t>MDLA9548694</t>
  </si>
  <si>
    <t>N251018006</t>
  </si>
  <si>
    <t>N251018007</t>
  </si>
  <si>
    <t>SAKPDC004554/25-26</t>
  </si>
  <si>
    <t>MDLA9548696</t>
  </si>
  <si>
    <t>SAKPDC004555/25-26</t>
  </si>
  <si>
    <t>MDLA9548697</t>
  </si>
  <si>
    <t>SAKPDC004556/25-26</t>
  </si>
  <si>
    <t>MDLA9548698</t>
  </si>
  <si>
    <t>SAKPDC004557/25-26</t>
  </si>
  <si>
    <t>MDLA9548699</t>
  </si>
  <si>
    <t>SAKPDC004558/25-26</t>
  </si>
  <si>
    <t>MDLA9548700</t>
  </si>
  <si>
    <t>SAKPDC004559/25-26</t>
  </si>
  <si>
    <t>MDLA9548701</t>
  </si>
  <si>
    <t>SAKPDC004560/25-26</t>
  </si>
  <si>
    <t>MDLA9548702</t>
  </si>
  <si>
    <t>SAKPDC004561/25-26</t>
  </si>
  <si>
    <t>MDLA9548703</t>
  </si>
  <si>
    <t>SAKPDC004562/25-26</t>
  </si>
  <si>
    <t>MDLA9548704</t>
  </si>
  <si>
    <t>SAKPDC004563/25-26</t>
  </si>
  <si>
    <t>MDLA9548705</t>
  </si>
  <si>
    <t>SAKPDC004564/25-26</t>
  </si>
  <si>
    <t>MDLA9548706</t>
  </si>
  <si>
    <t>N251019001</t>
  </si>
  <si>
    <t>N251019002</t>
  </si>
  <si>
    <t>N251019003</t>
  </si>
  <si>
    <t>N251019004</t>
  </si>
  <si>
    <t>RAJESH</t>
  </si>
  <si>
    <t>AP39TQ0526</t>
  </si>
  <si>
    <t>N251019005</t>
  </si>
  <si>
    <t>PASTER</t>
  </si>
  <si>
    <t>AP20P5128</t>
  </si>
  <si>
    <t>N251019006</t>
  </si>
  <si>
    <t>AP31BN2436</t>
  </si>
  <si>
    <t>N251019007</t>
  </si>
  <si>
    <t>N251019008</t>
  </si>
  <si>
    <t>N251019009</t>
  </si>
  <si>
    <t>N251019010</t>
  </si>
  <si>
    <t>N251019011</t>
  </si>
  <si>
    <t>AP31UU0619</t>
  </si>
  <si>
    <t>N251019012</t>
  </si>
  <si>
    <t>SRINU</t>
  </si>
  <si>
    <t>AP37DE5838</t>
  </si>
  <si>
    <t>N251019013</t>
  </si>
  <si>
    <t>AP31SQ3981</t>
  </si>
  <si>
    <t>SAKPDC004565/25-26</t>
  </si>
  <si>
    <t>MDLA9548707</t>
  </si>
  <si>
    <t>SAKPDC004566/25-26</t>
  </si>
  <si>
    <t>MDLA9548708</t>
  </si>
  <si>
    <t>N251019014</t>
  </si>
  <si>
    <t>N251019015</t>
  </si>
  <si>
    <t>N251019016</t>
  </si>
  <si>
    <t>N251019017</t>
  </si>
  <si>
    <t>N251019018</t>
  </si>
  <si>
    <t>N251019019</t>
  </si>
  <si>
    <t>N251019020</t>
  </si>
  <si>
    <t>N251019021</t>
  </si>
  <si>
    <t>N251019022</t>
  </si>
  <si>
    <t>N251019023</t>
  </si>
  <si>
    <t>N251019024</t>
  </si>
  <si>
    <t>SAKPDC004567/25-26</t>
  </si>
  <si>
    <t>MDLA9548709</t>
  </si>
  <si>
    <t>SAKPDC004568/25-26</t>
  </si>
  <si>
    <t>MDLA9548710</t>
  </si>
  <si>
    <t>SAKPDC004569/25-26</t>
  </si>
  <si>
    <t>MDLA9548711</t>
  </si>
  <si>
    <t>SAKPDC004570/25-26</t>
  </si>
  <si>
    <t>MDLA9548712</t>
  </si>
  <si>
    <t>N251020001</t>
  </si>
  <si>
    <t>KANAKARAJU</t>
  </si>
  <si>
    <t>AP31TE5359</t>
  </si>
  <si>
    <t>N251020002</t>
  </si>
  <si>
    <t>AP39TY8201</t>
  </si>
  <si>
    <t>N251020003</t>
  </si>
  <si>
    <t>N251020004</t>
  </si>
  <si>
    <t>N251020005</t>
  </si>
  <si>
    <t>N251020006</t>
  </si>
  <si>
    <t>N251020007</t>
  </si>
  <si>
    <t>N251020008</t>
  </si>
  <si>
    <t>N251020009</t>
  </si>
  <si>
    <t>N251020010</t>
  </si>
  <si>
    <t>N251021001</t>
  </si>
  <si>
    <t>PASTOR AKP</t>
  </si>
  <si>
    <t>AP31BU0619</t>
  </si>
  <si>
    <t>FROM 5K BALANCE</t>
  </si>
  <si>
    <t>N251021002</t>
  </si>
  <si>
    <t>AP31BL2436</t>
  </si>
  <si>
    <t>N251021003</t>
  </si>
  <si>
    <t>N251021004</t>
  </si>
  <si>
    <t>GOPI TRANSPORT</t>
  </si>
  <si>
    <t>AP31TG2919</t>
  </si>
  <si>
    <t>SAKPDC004571/25-26</t>
  </si>
  <si>
    <t>MDLA9548713</t>
  </si>
  <si>
    <t>SAKPDC004572/25-26</t>
  </si>
  <si>
    <t>MDLA9548714</t>
  </si>
  <si>
    <t>SAKPDC004573/25-26</t>
  </si>
  <si>
    <t>MDLA9548715</t>
  </si>
  <si>
    <t>SAKPDC004574/25-26</t>
  </si>
  <si>
    <t>MDLA9548716</t>
  </si>
  <si>
    <t>SAKPDC004575/25-26</t>
  </si>
  <si>
    <t>MDLA9548717</t>
  </si>
  <si>
    <t>SAKPDC004576/25-26</t>
  </si>
  <si>
    <t>MDLA9548718</t>
  </si>
  <si>
    <t>SAKPDC004577/25-26</t>
  </si>
  <si>
    <t>MDLA9548719</t>
  </si>
  <si>
    <t>SAKPDC004578/25-26</t>
  </si>
  <si>
    <t>MDLA9548720</t>
  </si>
  <si>
    <t>SAKPDC004579/25-26</t>
  </si>
  <si>
    <t>MDLA9548721</t>
  </si>
  <si>
    <t>SAKPDC004580/25-26</t>
  </si>
  <si>
    <t>MDLA9548722</t>
  </si>
  <si>
    <t>OUT SIDE LOADING(KUMAR)</t>
  </si>
  <si>
    <t>SAKPDC004581/25-26</t>
  </si>
  <si>
    <t>MDLA9548723</t>
  </si>
  <si>
    <t>SAKPDC004582/25-26</t>
  </si>
  <si>
    <t>MDLA9548724</t>
  </si>
  <si>
    <t>SAKPDC004583/25-26</t>
  </si>
  <si>
    <t>MDLA9548725</t>
  </si>
  <si>
    <t>SAKPDC004584/25-26</t>
  </si>
  <si>
    <t>MDLA9548726</t>
  </si>
  <si>
    <t>SAKPDC004585/25-26</t>
  </si>
  <si>
    <t>MDLA9548727</t>
  </si>
  <si>
    <t>SAKPDC004586/25-26</t>
  </si>
  <si>
    <t>MDLA9548728</t>
  </si>
  <si>
    <t>SAKPDC004587/25-26</t>
  </si>
  <si>
    <t>MDLA9548729</t>
  </si>
  <si>
    <t>SAKPDC004588/25-26</t>
  </si>
  <si>
    <t>MDLA9548730</t>
  </si>
  <si>
    <t>SAKPDC004589/25-26</t>
  </si>
  <si>
    <t>MDLA9548731</t>
  </si>
  <si>
    <t>SRI CHENDUR &amp; CO</t>
  </si>
  <si>
    <t>GSB</t>
  </si>
  <si>
    <t>SAKPDC004590/25-26</t>
  </si>
  <si>
    <t>MDLA9548732</t>
  </si>
  <si>
    <t>SAKPDC004591/25-26</t>
  </si>
  <si>
    <t>MDLA9548733</t>
  </si>
  <si>
    <t>SAKPDC004592/25-26</t>
  </si>
  <si>
    <t>MDLA9548734</t>
  </si>
  <si>
    <t>N251021009</t>
  </si>
  <si>
    <t>SAKPDC004593/25-26</t>
  </si>
  <si>
    <t>MDLA9548735</t>
  </si>
  <si>
    <t>SAKPDC004594/25-26</t>
  </si>
  <si>
    <t>MDLA9548736</t>
  </si>
  <si>
    <t>SAKPDC004597/25-26</t>
  </si>
  <si>
    <t>MDLA9548738</t>
  </si>
  <si>
    <t>SAKPDC004596/25-26</t>
  </si>
  <si>
    <t>MDLA9548737</t>
  </si>
  <si>
    <t>SAKPDC004600/25-26</t>
  </si>
  <si>
    <t>MDLA9548741</t>
  </si>
  <si>
    <t>SAKPDC004598/25-26</t>
  </si>
  <si>
    <t>MDLA9548739</t>
  </si>
  <si>
    <t>SAKPDC004599/25-26</t>
  </si>
  <si>
    <t>MDLA9548740</t>
  </si>
  <si>
    <t>SAKPDC004601/25-26</t>
  </si>
  <si>
    <t>MDLA9548742</t>
  </si>
  <si>
    <t>AP39UZ335</t>
  </si>
  <si>
    <t>SAKPDC004603/25-26</t>
  </si>
  <si>
    <t>MDLA9548744</t>
  </si>
  <si>
    <t>SAKPDC004605/25-26</t>
  </si>
  <si>
    <t>MDLA9548746</t>
  </si>
  <si>
    <t>AP39UE5162</t>
  </si>
  <si>
    <t>SAKPDC004602/25-26</t>
  </si>
  <si>
    <t>MDLA9548743</t>
  </si>
  <si>
    <t>SAKPDC004604/25-26</t>
  </si>
  <si>
    <t>MDLA9548745</t>
  </si>
  <si>
    <t>AP39WB1629</t>
  </si>
  <si>
    <t>SAKPDC004607/25-26</t>
  </si>
  <si>
    <t>MDLA9548747</t>
  </si>
  <si>
    <t>SAKPDC004608/25-26</t>
  </si>
  <si>
    <t>MDLA9548748</t>
  </si>
  <si>
    <t>SAKPDC004609/25-26</t>
  </si>
  <si>
    <t>MDLA9548749</t>
  </si>
  <si>
    <t>SAKPDC004610/25-26</t>
  </si>
  <si>
    <t>MDLA9548750</t>
  </si>
  <si>
    <t>SAKPDC004611/25-26</t>
  </si>
  <si>
    <t>MDLA9548751</t>
  </si>
  <si>
    <t>SAKPDC004612/25-26</t>
  </si>
  <si>
    <t>MDLA9548752</t>
  </si>
  <si>
    <t>SAKPDC004613/25-26</t>
  </si>
  <si>
    <t>MDLA9548753</t>
  </si>
  <si>
    <t>SAKPDC004614/25-26</t>
  </si>
  <si>
    <t>MDLA9548754</t>
  </si>
  <si>
    <t>SAKPDC004616/25-26</t>
  </si>
  <si>
    <t>MDLA9548756</t>
  </si>
  <si>
    <t>SAKPDC004615/25-26</t>
  </si>
  <si>
    <t>MDLA9548755</t>
  </si>
  <si>
    <t>N251022001</t>
  </si>
  <si>
    <t>N251022002</t>
  </si>
  <si>
    <t>N251022003</t>
  </si>
  <si>
    <t>SAKPDC004617/25-26</t>
  </si>
  <si>
    <t>MDLA9548757</t>
  </si>
  <si>
    <t>SAKPDC004620/25-26</t>
  </si>
  <si>
    <t>MDLA9548760</t>
  </si>
  <si>
    <t>SAKPDC004619/25-26</t>
  </si>
  <si>
    <t>MDLA9548759</t>
  </si>
  <si>
    <t>SAKPDC004618/25-26</t>
  </si>
  <si>
    <t>MDLA9548758</t>
  </si>
  <si>
    <t>SAKPDC004621/25-26</t>
  </si>
  <si>
    <t>MDLA9548761</t>
  </si>
  <si>
    <t>SAKPDC004622/25-26</t>
  </si>
  <si>
    <t>MDLA9548762</t>
  </si>
  <si>
    <t>SAKPDC004623/25-26</t>
  </si>
  <si>
    <t>MDLA9548763</t>
  </si>
  <si>
    <t>SAKPDC004624/25-26</t>
  </si>
  <si>
    <t>MDLA9548764</t>
  </si>
  <si>
    <t>SAKPDC004626/25-26</t>
  </si>
  <si>
    <t>MDLA9548766</t>
  </si>
  <si>
    <t>SAKPDC004625/25-26</t>
  </si>
  <si>
    <t>MDLA9548765</t>
  </si>
  <si>
    <t>SAKPDC004627/25-26</t>
  </si>
  <si>
    <t>MDLA9548767</t>
  </si>
  <si>
    <t>SAKPDC004629/25-26</t>
  </si>
  <si>
    <t>MDLA9548769</t>
  </si>
  <si>
    <t>SAKPDC004628/25-26</t>
  </si>
  <si>
    <t>MDLA9548768</t>
  </si>
  <si>
    <t>SAKPDC004630/25-26</t>
  </si>
  <si>
    <t>MDLA9548770</t>
  </si>
  <si>
    <t>SAKPDC004631/25-26</t>
  </si>
  <si>
    <t>MDLA9548771</t>
  </si>
  <si>
    <t>SAKPDC004632/25-26</t>
  </si>
  <si>
    <t>MDLA9548772</t>
  </si>
  <si>
    <t>SAKPDC004633/25-26</t>
  </si>
  <si>
    <t>MDLA9548773</t>
  </si>
  <si>
    <t>SAKPDC004634/25-26</t>
  </si>
  <si>
    <t>MDLA9548774</t>
  </si>
  <si>
    <t>SAKPDC004635/25-26</t>
  </si>
  <si>
    <t>MDLA9548776</t>
  </si>
  <si>
    <t>N251023001</t>
  </si>
  <si>
    <t>AP30TA2729</t>
  </si>
  <si>
    <t>SAKPDC004636/25-26</t>
  </si>
  <si>
    <t>SIRICON INDUSTRIAL MS PVT LTD</t>
  </si>
  <si>
    <t>SAKPDC004637/25-26</t>
  </si>
  <si>
    <t>MDLA9548777</t>
  </si>
  <si>
    <t>SIRICON INDUSTRIAL  MS PVT LTD</t>
  </si>
  <si>
    <t>SAKPDC004638/25-26</t>
  </si>
  <si>
    <t>MDLA9548778</t>
  </si>
  <si>
    <t>SAKPDC004639/25-26</t>
  </si>
  <si>
    <t>MDLA9548779</t>
  </si>
  <si>
    <t>SAKPDC004640/25-26</t>
  </si>
  <si>
    <t>MDLA9548780</t>
  </si>
  <si>
    <t>SAKPDC004641/25-26</t>
  </si>
  <si>
    <t>MDLA9548781</t>
  </si>
  <si>
    <t>SAKPDC004642/25-26</t>
  </si>
  <si>
    <t>MDLA9548782</t>
  </si>
  <si>
    <t>SAKPDC004643/25-26</t>
  </si>
  <si>
    <t>MDLA9548783</t>
  </si>
  <si>
    <t>SAKPDC004644/25-26</t>
  </si>
  <si>
    <t>MDLA9548784</t>
  </si>
  <si>
    <t>SAKPDC004645/25-26</t>
  </si>
  <si>
    <t>MDLA9548785</t>
  </si>
  <si>
    <t>SAKPDC004646/25-26</t>
  </si>
  <si>
    <t>MDLA9548786</t>
  </si>
  <si>
    <t>SAKPDC004647/25-26</t>
  </si>
  <si>
    <t>MDLA9548787</t>
  </si>
  <si>
    <t>AP39WV1629</t>
  </si>
  <si>
    <t>N251023002</t>
  </si>
  <si>
    <t>N251023003</t>
  </si>
  <si>
    <t>N251023004</t>
  </si>
  <si>
    <t>N251023005</t>
  </si>
  <si>
    <t>G KUMAR</t>
  </si>
  <si>
    <t>AP31TH5226</t>
  </si>
  <si>
    <t>SAKPDC004649/25-26</t>
  </si>
  <si>
    <t>MDLA9548793</t>
  </si>
  <si>
    <t>SAKPDC004653/25-26</t>
  </si>
  <si>
    <t>MDLA9548796</t>
  </si>
  <si>
    <t>SAKPDC004648/25-26</t>
  </si>
  <si>
    <t>MDLA9548788</t>
  </si>
  <si>
    <t>SAKPDC004651/25-26</t>
  </si>
  <si>
    <t>MDLA9548791</t>
  </si>
  <si>
    <t>SAKPDC004652/25-26</t>
  </si>
  <si>
    <t>MDLA9548797</t>
  </si>
  <si>
    <t>SAKPDC004650/25-26</t>
  </si>
  <si>
    <t>MDLA9548795</t>
  </si>
  <si>
    <t>SAKPDC004654/25-26</t>
  </si>
  <si>
    <t>MDLA9548789</t>
  </si>
  <si>
    <t>SVR &amp; CO</t>
  </si>
  <si>
    <t>SAKPDC004655/25-26</t>
  </si>
  <si>
    <t>MDLA9548790</t>
  </si>
  <si>
    <t>SAKPDC004656/25-26</t>
  </si>
  <si>
    <t>MDLA9548792</t>
  </si>
  <si>
    <t>SAKPDC004657/25-26</t>
  </si>
  <si>
    <t>MDLA9548794</t>
  </si>
  <si>
    <t>SAKPDC004658/25-26</t>
  </si>
  <si>
    <t>MDLA9548798</t>
  </si>
  <si>
    <t>N251024001</t>
  </si>
  <si>
    <t>APPA RAO</t>
  </si>
  <si>
    <t>N251024002</t>
  </si>
  <si>
    <t>N251024003</t>
  </si>
  <si>
    <t>N251024006</t>
  </si>
  <si>
    <t>N251026002</t>
  </si>
  <si>
    <t>DUTTA</t>
  </si>
  <si>
    <t>AP39UV0216</t>
  </si>
  <si>
    <t>N251026003</t>
  </si>
  <si>
    <t>AP30Y4844</t>
  </si>
  <si>
    <t>N251026004</t>
  </si>
  <si>
    <t>P SURIBABU</t>
  </si>
  <si>
    <t>N251026005</t>
  </si>
  <si>
    <t>AP1TM1899</t>
  </si>
  <si>
    <t>N251026006</t>
  </si>
  <si>
    <t>AP31TM0953</t>
  </si>
  <si>
    <t>N251026007</t>
  </si>
  <si>
    <t>N251026008</t>
  </si>
  <si>
    <t>N251026009</t>
  </si>
  <si>
    <t>DUMPER SRINU</t>
  </si>
  <si>
    <t>AP39W3462</t>
  </si>
  <si>
    <t>N251026010</t>
  </si>
  <si>
    <t>N251026011</t>
  </si>
  <si>
    <t>N251026012</t>
  </si>
  <si>
    <t>N251026013</t>
  </si>
  <si>
    <t>N251026014</t>
  </si>
  <si>
    <t>N251026015</t>
  </si>
  <si>
    <t>SAKPDC004659/25-26</t>
  </si>
  <si>
    <t>MDLA9548799</t>
  </si>
  <si>
    <t>SAKPDC004660/25-26</t>
  </si>
  <si>
    <t>MDLA9548800</t>
  </si>
  <si>
    <t>SAKPDC004661/25-26</t>
  </si>
  <si>
    <t>MDLA9548801</t>
  </si>
  <si>
    <t>N251027001</t>
  </si>
  <si>
    <t>N251027002</t>
  </si>
  <si>
    <t>SAKPDC004662/25-26</t>
  </si>
  <si>
    <t>MDLA9548802</t>
  </si>
  <si>
    <t>SAKPDC004663/25-26</t>
  </si>
  <si>
    <t>MDLA9548803</t>
  </si>
  <si>
    <t>SAKPDC004664/25-26</t>
  </si>
  <si>
    <t>MDLA9548804</t>
  </si>
  <si>
    <t>SAKPDC004665/25-26</t>
  </si>
  <si>
    <t>MDLA9548805</t>
  </si>
  <si>
    <t>SAKPDC004666/25-26</t>
  </si>
  <si>
    <t>MDLA9548806</t>
  </si>
  <si>
    <t>A39W4518</t>
  </si>
  <si>
    <t>SAKPDC004668/25-26</t>
  </si>
  <si>
    <t>MDLA9548808</t>
  </si>
  <si>
    <t>SAKPDC004667/25-26</t>
  </si>
  <si>
    <t>MDLA9548807</t>
  </si>
  <si>
    <t>SAKPDC004669/25-26</t>
  </si>
  <si>
    <t>MDLA9548809</t>
  </si>
  <si>
    <t>SAKPDC004670/25-26</t>
  </si>
  <si>
    <t>MDLA9548810</t>
  </si>
  <si>
    <t>SAKPDC004671/25-26</t>
  </si>
  <si>
    <t>MDLA9548811</t>
  </si>
  <si>
    <t>SAKPDC004672/25-26</t>
  </si>
  <si>
    <t>MDLA9548812</t>
  </si>
  <si>
    <t>SAKPDC004673/25-26</t>
  </si>
  <si>
    <t>MDLA9548813</t>
  </si>
  <si>
    <t>SAKPDC004675/25-26</t>
  </si>
  <si>
    <t>MDLA9548815</t>
  </si>
  <si>
    <t>N251031007</t>
  </si>
  <si>
    <t>SAKPDC004674/25-26</t>
  </si>
  <si>
    <t>MDLA9548814</t>
  </si>
  <si>
    <t>SAKPDC004687/25-26</t>
  </si>
  <si>
    <t>MDLA9548826</t>
  </si>
  <si>
    <t>KEC INTERNATIONAL</t>
  </si>
  <si>
    <t>SAKPDC004677/25-26</t>
  </si>
  <si>
    <t>MDLA9548816</t>
  </si>
  <si>
    <t>SAKPDC004678/25-26</t>
  </si>
  <si>
    <t>MDLA9548817</t>
  </si>
  <si>
    <t>SAKPDC004679/25-26</t>
  </si>
  <si>
    <t>MDLA9548818</t>
  </si>
  <si>
    <t>AP3W3579</t>
  </si>
  <si>
    <t>SAKPDC004680/25-26</t>
  </si>
  <si>
    <t>MDLA9548819</t>
  </si>
  <si>
    <t>SAKPDC004681/25-26</t>
  </si>
  <si>
    <t>MDLA9548820</t>
  </si>
  <si>
    <t>SAKPDC004683/25-26</t>
  </si>
  <si>
    <t>MDLA9548822</t>
  </si>
  <si>
    <t>SAKPDC004684/25-26</t>
  </si>
  <si>
    <t>MDLA9548823</t>
  </si>
  <si>
    <t>SAKPDC004685/25-26</t>
  </si>
  <si>
    <t>MDLA9548825</t>
  </si>
  <si>
    <t>SAKPDC004682/25-26</t>
  </si>
  <si>
    <t>MDLA9548821</t>
  </si>
  <si>
    <t>SAKPDC004686/25-26</t>
  </si>
  <si>
    <t>MDLA9548824</t>
  </si>
  <si>
    <t>N251101001</t>
  </si>
  <si>
    <t>AP31TN2489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</si>
</sst>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-* #,##0.00_-;\-* #,##0.00_-;_-* &quot;-&quot;??_-;_-@_-"/>
    <numFmt numFmtId="166" formatCode="_ * #,##0_ ;_ * \-#,##0_ ;_ * &quot;-&quot;??_ ;_ @_ "/>
    <numFmt numFmtId="167" formatCode="0.00_ 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.75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rgb="FF222222"/>
      <name val="Arial"/>
      <family val="2"/>
    </font>
    <font>
      <sz val="11"/>
      <color rgb="FF000000"/>
      <name val="Calibri"/>
      <family val="2"/>
      <scheme val="minor"/>
    </font>
    <font>
      <sz val="10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b/>
      <sz val="12"/>
      <name val="Calibri"/>
      <charset val="134"/>
    </font>
    <font>
      <sz val="12"/>
      <color rgb="FF000000"/>
      <name val="Calibri"/>
      <charset val="134"/>
      <scheme val="minor"/>
    </font>
    <font>
      <sz val="9.75"/>
      <color rgb="FF000000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6" fillId="0" borderId="0">
      <alignment wrapText="1"/>
    </xf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214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166" fontId="1" fillId="0" borderId="0" xfId="4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5" borderId="1" xfId="4" applyNumberFormat="1" applyFont="1" applyFill="1" applyBorder="1" applyAlignment="1">
      <alignment horizontal="right"/>
    </xf>
    <xf numFmtId="166" fontId="1" fillId="2" borderId="1" xfId="4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3" fontId="1" fillId="5" borderId="1" xfId="4" applyFon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6" xfId="0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43" fontId="1" fillId="5" borderId="6" xfId="4" applyFont="1" applyFill="1" applyBorder="1" applyAlignment="1">
      <alignment horizontal="right"/>
    </xf>
    <xf numFmtId="166" fontId="1" fillId="5" borderId="5" xfId="4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0" fillId="4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7" borderId="1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" fontId="10" fillId="4" borderId="2" xfId="0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1" fontId="21" fillId="4" borderId="0" xfId="0" applyNumberFormat="1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67" fontId="10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14" fontId="26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1" fontId="26" fillId="4" borderId="5" xfId="0" applyNumberFormat="1" applyFont="1" applyFill="1" applyBorder="1" applyAlignment="1">
      <alignment horizontal="center" vertical="center"/>
    </xf>
    <xf numFmtId="1" fontId="26" fillId="4" borderId="1" xfId="0" applyNumberFormat="1" applyFont="1" applyFill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6" borderId="7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center"/>
    </xf>
    <xf numFmtId="167" fontId="26" fillId="0" borderId="1" xfId="0" applyNumberFormat="1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/>
    </xf>
    <xf numFmtId="1" fontId="25" fillId="4" borderId="0" xfId="0" applyNumberFormat="1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6" fillId="6" borderId="4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5" xfId="0" applyFont="1" applyBorder="1" applyAlignment="1">
      <alignment horizontal="left"/>
    </xf>
    <xf numFmtId="0" fontId="27" fillId="8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0" fillId="4" borderId="1" xfId="0" applyFill="1" applyBorder="1" applyAlignment="1">
      <alignment horizontal="left"/>
    </xf>
    <xf numFmtId="14" fontId="24" fillId="4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1" fontId="24" fillId="4" borderId="5" xfId="0" applyNumberFormat="1" applyFont="1" applyFill="1" applyBorder="1" applyAlignment="1">
      <alignment horizontal="center" vertical="center"/>
    </xf>
    <xf numFmtId="1" fontId="24" fillId="4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4" fillId="0" borderId="2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167" fontId="26" fillId="4" borderId="1" xfId="0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31" fillId="6" borderId="4" xfId="0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0" fontId="31" fillId="6" borderId="7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7" fontId="24" fillId="4" borderId="1" xfId="0" applyNumberFormat="1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1" fontId="34" fillId="4" borderId="0" xfId="0" applyNumberFormat="1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24" fillId="4" borderId="7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vertical="center"/>
    </xf>
    <xf numFmtId="14" fontId="37" fillId="4" borderId="1" xfId="0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left"/>
    </xf>
    <xf numFmtId="0" fontId="37" fillId="4" borderId="6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" fontId="37" fillId="4" borderId="5" xfId="0" applyNumberFormat="1" applyFont="1" applyFill="1" applyBorder="1" applyAlignment="1">
      <alignment horizontal="center" vertical="center"/>
    </xf>
    <xf numFmtId="1" fontId="37" fillId="4" borderId="1" xfId="0" applyNumberFormat="1" applyFont="1" applyFill="1" applyBorder="1" applyAlignment="1">
      <alignment horizontal="center" vertical="center"/>
    </xf>
    <xf numFmtId="1" fontId="37" fillId="0" borderId="2" xfId="0" applyNumberFormat="1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4" borderId="7" xfId="0" applyFont="1" applyFill="1" applyBorder="1" applyAlignment="1">
      <alignment horizontal="center"/>
    </xf>
    <xf numFmtId="167" fontId="37" fillId="4" borderId="1" xfId="0" applyNumberFormat="1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9" fillId="6" borderId="7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center"/>
    </xf>
    <xf numFmtId="0" fontId="36" fillId="4" borderId="0" xfId="0" applyFont="1" applyFill="1" applyAlignment="1">
      <alignment horizontal="center" vertical="center" wrapText="1"/>
    </xf>
    <xf numFmtId="0" fontId="40" fillId="4" borderId="0" xfId="0" applyFont="1" applyFill="1" applyAlignment="1">
      <alignment horizontal="center" vertical="center"/>
    </xf>
    <xf numFmtId="1" fontId="36" fillId="4" borderId="0" xfId="0" applyNumberFormat="1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9" fillId="6" borderId="4" xfId="0" applyFont="1" applyFill="1" applyBorder="1" applyAlignment="1">
      <alignment horizontal="center"/>
    </xf>
    <xf numFmtId="0" fontId="39" fillId="0" borderId="5" xfId="0" applyFont="1" applyBorder="1" applyAlignment="1">
      <alignment horizontal="left"/>
    </xf>
    <xf numFmtId="0" fontId="39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7" fillId="4" borderId="2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8" borderId="1" xfId="0" applyFont="1" applyFill="1" applyBorder="1" applyAlignment="1">
      <alignment horizontal="center"/>
    </xf>
    <xf numFmtId="0" fontId="4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4">
    <cellStyle name="Comma" xfId="4" builtinId="3"/>
    <cellStyle name="Comma 2" xfId="2" xr:uid="{00000000-0005-0000-0000-000001000000}"/>
    <cellStyle name="Comma 2 2" xfId="5" xr:uid="{00000000-0005-0000-0000-000002000000}"/>
    <cellStyle name="Comma 3" xfId="1" xr:uid="{00000000-0005-0000-0000-000003000000}"/>
    <cellStyle name="Comma 3 2" xfId="6" xr:uid="{00000000-0005-0000-0000-000004000000}"/>
    <cellStyle name="Comma 4" xfId="10" xr:uid="{00000000-0005-0000-0000-000005000000}"/>
    <cellStyle name="Comma 5" xfId="11" xr:uid="{00000000-0005-0000-0000-000006000000}"/>
    <cellStyle name="Hyperlink 2" xfId="12" xr:uid="{00000000-0005-0000-0000-000007000000}"/>
    <cellStyle name="Normal" xfId="0" builtinId="0"/>
    <cellStyle name="Normal 10 2 2 5" xfId="13" xr:uid="{00000000-0005-0000-0000-000009000000}"/>
    <cellStyle name="Normal 2" xfId="3" xr:uid="{00000000-0005-0000-0000-00000A000000}"/>
    <cellStyle name="Normal 2 2" xfId="8" xr:uid="{00000000-0005-0000-0000-00000B000000}"/>
    <cellStyle name="Normal 2 3" xfId="7" xr:uid="{00000000-0005-0000-0000-00000C000000}"/>
    <cellStyle name="Normal 3" xfId="9" xr:uid="{00000000-0005-0000-0000-00000D000000}"/>
  </cellStyles>
  <dxfs count="40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9FE718A1-9D0E-477E-8069-F9CCE08293FB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50CAB644-03EE-4208-8B57-98E5CAEA59F8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5BB0920B-9882-401F-B48E-90792DE74B43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F3AB1B5-8081-4CD4-A6FE-58CE21E4ECC3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8AFBF276-F115-4D24-A2F0-EE394F8AEBCD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ED8DD68B-46D6-48D9-BD66-25688F0298FF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8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38004186-53C3-49A4-967A-A8204BC4C0AD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9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DDEE827B-A593-4BCB-AB77-872DD9DB72B8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51"/>
  <sheetViews>
    <sheetView tabSelected="1" workbookViewId="0">
      <selection activeCell="I3" sqref="I3"/>
    </sheetView>
  </sheetViews>
  <sheetFormatPr defaultColWidth="9.140625" defaultRowHeight="15"/>
  <cols>
    <col min="1" max="1" width="5.42578125" bestFit="1" customWidth="1"/>
    <col min="2" max="2" width="11.28515625" customWidth="1"/>
    <col min="3" max="3" width="11.85546875" customWidth="1"/>
    <col min="4" max="4" width="16.5703125" bestFit="1" customWidth="1"/>
    <col min="5" max="5" width="19.85546875" bestFit="1" customWidth="1"/>
    <col min="6" max="6" width="14.28515625" bestFit="1" customWidth="1"/>
    <col min="7" max="7" width="13.28515625" bestFit="1" customWidth="1"/>
    <col min="8" max="8" width="9" bestFit="1" customWidth="1"/>
    <col min="9" max="9" width="41.42578125" bestFit="1" customWidth="1"/>
    <col min="10" max="10" width="8" bestFit="1" customWidth="1"/>
    <col min="11" max="11" width="8.140625" bestFit="1" customWidth="1"/>
    <col min="12" max="12" width="13.85546875" bestFit="1" customWidth="1"/>
    <col min="13" max="13" width="13.140625" bestFit="1" customWidth="1"/>
    <col min="14" max="14" width="7" bestFit="1" customWidth="1"/>
    <col min="15" max="15" width="7.28515625" customWidth="1"/>
    <col min="16" max="16" width="10" bestFit="1" customWidth="1"/>
    <col min="18" max="18" width="13.28515625" bestFit="1" customWidth="1"/>
    <col min="19" max="19" width="9.42578125" bestFit="1" customWidth="1"/>
    <col min="20" max="20" width="10.85546875" bestFit="1" customWidth="1"/>
    <col min="21" max="21" width="19.85546875" style="17" bestFit="1" customWidth="1"/>
    <col min="22" max="22" width="26" bestFit="1" customWidth="1"/>
    <col min="23" max="23" width="6.5703125" bestFit="1" customWidth="1"/>
    <col min="24" max="24" width="10" bestFit="1" customWidth="1"/>
    <col min="25" max="25" width="8" bestFit="1" customWidth="1"/>
    <col min="26" max="26" width="11.5703125" bestFit="1" customWidth="1"/>
    <col min="27" max="27" width="13.140625" bestFit="1" customWidth="1"/>
    <col min="28" max="28" width="20" bestFit="1" customWidth="1"/>
  </cols>
  <sheetData>
    <row r="1" spans="1:38" ht="42.6" customHeight="1">
      <c r="A1" s="207" t="s">
        <v>0</v>
      </c>
      <c r="B1" s="210" t="s">
        <v>1</v>
      </c>
      <c r="C1" s="207" t="s">
        <v>2</v>
      </c>
      <c r="D1" s="211" t="s">
        <v>3</v>
      </c>
      <c r="E1" s="211" t="s">
        <v>4</v>
      </c>
      <c r="F1" s="211" t="s">
        <v>5</v>
      </c>
      <c r="G1" s="5" t="s">
        <v>6</v>
      </c>
      <c r="H1" s="211" t="s">
        <v>7</v>
      </c>
      <c r="I1" s="212" t="s">
        <v>25</v>
      </c>
      <c r="J1" s="210" t="s">
        <v>8</v>
      </c>
      <c r="K1" s="210" t="s">
        <v>26</v>
      </c>
      <c r="L1" s="210" t="s">
        <v>9</v>
      </c>
      <c r="M1" s="210" t="s">
        <v>27</v>
      </c>
      <c r="N1" s="210" t="s">
        <v>10</v>
      </c>
      <c r="O1" s="210" t="s">
        <v>28</v>
      </c>
      <c r="P1" s="4" t="s">
        <v>11</v>
      </c>
      <c r="Q1" s="210" t="s">
        <v>12</v>
      </c>
      <c r="R1" s="1" t="s">
        <v>13</v>
      </c>
      <c r="S1" s="210" t="s">
        <v>14</v>
      </c>
      <c r="T1" s="210" t="s">
        <v>29</v>
      </c>
      <c r="U1" s="210" t="s">
        <v>15</v>
      </c>
      <c r="V1" s="207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08" t="s">
        <v>22</v>
      </c>
    </row>
    <row r="2" spans="1:38" s="3" customFormat="1">
      <c r="A2" s="207"/>
      <c r="B2" s="210"/>
      <c r="C2" s="207"/>
      <c r="D2" s="211"/>
      <c r="E2" s="211"/>
      <c r="F2" s="211"/>
      <c r="G2" s="11">
        <f>(SUBTOTAL(9,G4:G1496))*1</f>
        <v>15312</v>
      </c>
      <c r="H2" s="211"/>
      <c r="I2" s="213"/>
      <c r="J2" s="210"/>
      <c r="K2" s="210"/>
      <c r="L2" s="210"/>
      <c r="M2" s="210"/>
      <c r="N2" s="210"/>
      <c r="O2" s="210"/>
      <c r="P2" s="11">
        <f>(SUBTOTAL(9,P4:P1496))*1</f>
        <v>22146.850000000006</v>
      </c>
      <c r="Q2" s="210"/>
      <c r="R2" s="6">
        <f>(SUBTOTAL(9,R4:R1496))*1</f>
        <v>9661742.7620000057</v>
      </c>
      <c r="S2" s="210"/>
      <c r="T2" s="210"/>
      <c r="U2" s="210"/>
      <c r="V2" s="207"/>
      <c r="W2" s="7"/>
      <c r="X2" s="6">
        <f>(SUBTOTAL(9,X4:X1496))*1</f>
        <v>2949527.3000000003</v>
      </c>
      <c r="Y2" s="7"/>
      <c r="Z2" s="6">
        <f>(SUBTOTAL(9,Z4:Z1496))*1</f>
        <v>5005042.3999999966</v>
      </c>
      <c r="AA2" s="6">
        <f>(SUBTOTAL(9,AA4:AA1496))*1</f>
        <v>17616312.462000009</v>
      </c>
      <c r="AB2" s="209"/>
    </row>
    <row r="3" spans="1:38" s="3" customFormat="1">
      <c r="A3" s="21"/>
      <c r="B3" s="5"/>
      <c r="C3" s="4"/>
      <c r="D3" s="8"/>
      <c r="E3" s="8"/>
      <c r="F3" s="8"/>
      <c r="G3" s="6"/>
      <c r="H3" s="10"/>
      <c r="I3" s="9"/>
      <c r="J3" s="20"/>
      <c r="K3" s="20"/>
      <c r="L3" s="5"/>
      <c r="M3" s="5"/>
      <c r="N3" s="5"/>
      <c r="O3" s="5"/>
      <c r="P3" s="22"/>
      <c r="Q3" s="5"/>
      <c r="R3" s="23"/>
      <c r="S3" s="5"/>
      <c r="T3" s="5"/>
      <c r="U3" s="5"/>
      <c r="V3" s="4"/>
      <c r="W3" s="7"/>
      <c r="X3" s="6"/>
      <c r="Y3" s="7"/>
      <c r="Z3" s="6"/>
      <c r="AA3" s="6"/>
      <c r="AB3" s="24"/>
    </row>
    <row r="4" spans="1:38" s="27" customFormat="1" ht="15.75">
      <c r="A4" s="32">
        <v>1</v>
      </c>
      <c r="B4" s="13">
        <v>45931</v>
      </c>
      <c r="C4" s="13">
        <v>45931</v>
      </c>
      <c r="D4" s="31" t="s">
        <v>32</v>
      </c>
      <c r="E4" s="14"/>
      <c r="F4" s="14"/>
      <c r="G4" s="14"/>
      <c r="H4" s="28"/>
      <c r="I4" s="29" t="s">
        <v>33</v>
      </c>
      <c r="J4" s="26" t="s">
        <v>23</v>
      </c>
      <c r="K4" s="12" t="s">
        <v>30</v>
      </c>
      <c r="L4" s="30" t="s">
        <v>34</v>
      </c>
      <c r="M4" s="14" t="s">
        <v>31</v>
      </c>
      <c r="N4" s="14">
        <v>20.079999999999998</v>
      </c>
      <c r="O4" s="14">
        <v>7.32</v>
      </c>
      <c r="P4" s="18">
        <f t="shared" ref="P4:P67" si="0">N4-O4</f>
        <v>12.759999999999998</v>
      </c>
      <c r="Q4" s="14">
        <v>150</v>
      </c>
      <c r="R4" s="19">
        <f t="shared" ref="R4:R67" si="1">Q4*P4</f>
        <v>1913.9999999999998</v>
      </c>
      <c r="S4" s="14">
        <v>1914</v>
      </c>
      <c r="T4" s="15"/>
      <c r="V4" s="15" t="s">
        <v>24</v>
      </c>
      <c r="W4" s="16"/>
      <c r="X4" s="25">
        <f t="shared" ref="X4:X67" si="2">W4*P4</f>
        <v>0</v>
      </c>
      <c r="Y4" s="25"/>
      <c r="Z4" s="15">
        <f t="shared" ref="Z4:Z67" si="3">Y4*P4</f>
        <v>0</v>
      </c>
      <c r="AA4" s="15">
        <f t="shared" ref="AA4:AA67" si="4">R4+X4+Z4</f>
        <v>1913.9999999999998</v>
      </c>
    </row>
    <row r="5" spans="1:38" s="27" customFormat="1" ht="15.75">
      <c r="A5" s="32">
        <v>2</v>
      </c>
      <c r="B5" s="13">
        <v>45933</v>
      </c>
      <c r="C5" s="13">
        <v>45933</v>
      </c>
      <c r="D5" s="31">
        <v>251003001</v>
      </c>
      <c r="E5" s="14" t="s">
        <v>35</v>
      </c>
      <c r="F5" s="14" t="s">
        <v>36</v>
      </c>
      <c r="G5" s="14">
        <v>25</v>
      </c>
      <c r="H5" s="33">
        <v>24</v>
      </c>
      <c r="I5" s="34" t="s">
        <v>37</v>
      </c>
      <c r="J5" s="35" t="s">
        <v>23</v>
      </c>
      <c r="K5" s="36" t="s">
        <v>38</v>
      </c>
      <c r="L5" s="30" t="s">
        <v>39</v>
      </c>
      <c r="M5" s="14" t="s">
        <v>40</v>
      </c>
      <c r="N5" s="14">
        <v>42.64</v>
      </c>
      <c r="O5" s="14">
        <v>10.48</v>
      </c>
      <c r="P5" s="18">
        <f t="shared" si="0"/>
        <v>32.159999999999997</v>
      </c>
      <c r="Q5" s="14">
        <v>335</v>
      </c>
      <c r="R5" s="19">
        <f t="shared" si="1"/>
        <v>10773.599999999999</v>
      </c>
      <c r="S5" s="14"/>
      <c r="T5" s="15"/>
      <c r="V5" s="15" t="s">
        <v>24</v>
      </c>
      <c r="W5" s="16">
        <v>145</v>
      </c>
      <c r="X5" s="37">
        <f t="shared" si="2"/>
        <v>4663.2</v>
      </c>
      <c r="Y5" s="25">
        <v>260</v>
      </c>
      <c r="Z5" s="15">
        <f t="shared" si="3"/>
        <v>8361.5999999999985</v>
      </c>
      <c r="AA5" s="15">
        <f t="shared" si="4"/>
        <v>23798.399999999998</v>
      </c>
    </row>
    <row r="6" spans="1:38" s="27" customFormat="1" ht="15.75">
      <c r="A6" s="32">
        <v>3</v>
      </c>
      <c r="B6" s="13">
        <v>45933</v>
      </c>
      <c r="C6" s="13">
        <v>45933</v>
      </c>
      <c r="D6" s="31">
        <v>251003002</v>
      </c>
      <c r="E6" s="14" t="s">
        <v>41</v>
      </c>
      <c r="F6" s="14" t="s">
        <v>42</v>
      </c>
      <c r="G6" s="14">
        <v>25</v>
      </c>
      <c r="H6" s="33">
        <v>24</v>
      </c>
      <c r="I6" s="34" t="s">
        <v>37</v>
      </c>
      <c r="J6" s="35" t="s">
        <v>23</v>
      </c>
      <c r="K6" s="36" t="s">
        <v>38</v>
      </c>
      <c r="L6" s="30" t="s">
        <v>43</v>
      </c>
      <c r="M6" s="14" t="s">
        <v>40</v>
      </c>
      <c r="N6" s="14">
        <v>60.2</v>
      </c>
      <c r="O6" s="14">
        <v>15.82</v>
      </c>
      <c r="P6" s="38">
        <f t="shared" si="0"/>
        <v>44.38</v>
      </c>
      <c r="Q6" s="14">
        <v>335</v>
      </c>
      <c r="R6" s="39">
        <f t="shared" si="1"/>
        <v>14867.300000000001</v>
      </c>
      <c r="S6" s="15"/>
      <c r="T6" s="25"/>
      <c r="V6" s="15" t="s">
        <v>24</v>
      </c>
      <c r="W6" s="16">
        <v>145</v>
      </c>
      <c r="X6" s="37">
        <f t="shared" si="2"/>
        <v>6435.1</v>
      </c>
      <c r="Y6" s="25">
        <v>260</v>
      </c>
      <c r="Z6" s="25">
        <f t="shared" si="3"/>
        <v>11538.800000000001</v>
      </c>
      <c r="AA6" s="25">
        <f t="shared" si="4"/>
        <v>32841.200000000004</v>
      </c>
    </row>
    <row r="7" spans="1:38" s="27" customFormat="1" ht="15.75">
      <c r="A7" s="32">
        <v>4</v>
      </c>
      <c r="B7" s="13">
        <v>45933</v>
      </c>
      <c r="C7" s="13">
        <v>45933</v>
      </c>
      <c r="D7" s="31">
        <v>251003003</v>
      </c>
      <c r="E7" s="14" t="s">
        <v>44</v>
      </c>
      <c r="F7" s="14" t="s">
        <v>45</v>
      </c>
      <c r="G7" s="14">
        <v>25</v>
      </c>
      <c r="H7" s="41">
        <v>115</v>
      </c>
      <c r="I7" s="36" t="s">
        <v>46</v>
      </c>
      <c r="J7" s="42" t="s">
        <v>23</v>
      </c>
      <c r="K7" s="43" t="s">
        <v>38</v>
      </c>
      <c r="L7" s="14" t="s">
        <v>47</v>
      </c>
      <c r="M7" s="14" t="s">
        <v>48</v>
      </c>
      <c r="N7" s="14">
        <v>61.02</v>
      </c>
      <c r="O7" s="14">
        <v>15.92</v>
      </c>
      <c r="P7" s="18">
        <f t="shared" si="0"/>
        <v>45.1</v>
      </c>
      <c r="Q7" s="14">
        <v>545</v>
      </c>
      <c r="R7" s="19">
        <f t="shared" si="1"/>
        <v>24579.5</v>
      </c>
      <c r="S7" s="25"/>
      <c r="T7" s="15"/>
      <c r="V7" s="15" t="s">
        <v>24</v>
      </c>
      <c r="W7" s="16">
        <v>145</v>
      </c>
      <c r="X7" s="37">
        <f t="shared" si="2"/>
        <v>6539.5</v>
      </c>
      <c r="Y7" s="25">
        <v>260</v>
      </c>
      <c r="Z7" s="15">
        <f t="shared" si="3"/>
        <v>11726</v>
      </c>
      <c r="AA7" s="15">
        <f t="shared" si="4"/>
        <v>42845</v>
      </c>
    </row>
    <row r="8" spans="1:38" s="27" customFormat="1" ht="15.75">
      <c r="A8" s="32">
        <v>5</v>
      </c>
      <c r="B8" s="13">
        <v>45933</v>
      </c>
      <c r="C8" s="13">
        <v>45933</v>
      </c>
      <c r="D8" s="31">
        <v>251003004</v>
      </c>
      <c r="E8" s="14" t="s">
        <v>49</v>
      </c>
      <c r="F8" s="14" t="s">
        <v>50</v>
      </c>
      <c r="G8" s="14">
        <v>25</v>
      </c>
      <c r="H8" s="41">
        <v>115</v>
      </c>
      <c r="I8" s="36" t="s">
        <v>46</v>
      </c>
      <c r="J8" s="42" t="s">
        <v>23</v>
      </c>
      <c r="K8" s="43" t="s">
        <v>38</v>
      </c>
      <c r="L8" s="14" t="s">
        <v>51</v>
      </c>
      <c r="M8" s="14" t="s">
        <v>48</v>
      </c>
      <c r="N8" s="44">
        <v>60.38</v>
      </c>
      <c r="O8" s="14">
        <v>15.44</v>
      </c>
      <c r="P8" s="18">
        <f t="shared" si="0"/>
        <v>44.940000000000005</v>
      </c>
      <c r="Q8" s="14">
        <v>545</v>
      </c>
      <c r="R8" s="19">
        <f t="shared" si="1"/>
        <v>24492.300000000003</v>
      </c>
      <c r="S8" s="14"/>
      <c r="T8" s="15"/>
      <c r="V8" s="15" t="s">
        <v>24</v>
      </c>
      <c r="W8" s="16">
        <v>145</v>
      </c>
      <c r="X8" s="37">
        <f t="shared" si="2"/>
        <v>6516.3000000000011</v>
      </c>
      <c r="Y8" s="25">
        <v>260</v>
      </c>
      <c r="Z8" s="15">
        <f t="shared" si="3"/>
        <v>11684.400000000001</v>
      </c>
      <c r="AA8" s="15">
        <f t="shared" si="4"/>
        <v>42693.000000000007</v>
      </c>
    </row>
    <row r="9" spans="1:38" s="27" customFormat="1" ht="15.75">
      <c r="A9" s="32">
        <v>6</v>
      </c>
      <c r="B9" s="13">
        <v>45933</v>
      </c>
      <c r="C9" s="13">
        <v>45933</v>
      </c>
      <c r="D9" s="31">
        <v>251003005</v>
      </c>
      <c r="E9" s="14" t="s">
        <v>52</v>
      </c>
      <c r="F9" s="14" t="s">
        <v>53</v>
      </c>
      <c r="G9" s="14">
        <v>25</v>
      </c>
      <c r="H9" s="41">
        <v>115</v>
      </c>
      <c r="I9" s="36" t="s">
        <v>46</v>
      </c>
      <c r="J9" s="42" t="s">
        <v>23</v>
      </c>
      <c r="K9" s="43" t="s">
        <v>38</v>
      </c>
      <c r="L9" s="14" t="s">
        <v>54</v>
      </c>
      <c r="M9" s="14" t="s">
        <v>55</v>
      </c>
      <c r="N9" s="44">
        <v>66.599999999999994</v>
      </c>
      <c r="O9" s="44">
        <v>16.68</v>
      </c>
      <c r="P9" s="18">
        <f t="shared" si="0"/>
        <v>49.919999999999995</v>
      </c>
      <c r="Q9" s="14">
        <v>445</v>
      </c>
      <c r="R9" s="19">
        <f t="shared" si="1"/>
        <v>22214.399999999998</v>
      </c>
      <c r="S9" s="14"/>
      <c r="T9" s="15"/>
      <c r="V9" s="15" t="s">
        <v>24</v>
      </c>
      <c r="W9" s="16">
        <v>145</v>
      </c>
      <c r="X9" s="37">
        <f t="shared" si="2"/>
        <v>7238.4</v>
      </c>
      <c r="Y9" s="25">
        <v>260</v>
      </c>
      <c r="Z9" s="15">
        <f t="shared" si="3"/>
        <v>12979.199999999999</v>
      </c>
      <c r="AA9" s="15">
        <f t="shared" si="4"/>
        <v>42431.999999999993</v>
      </c>
    </row>
    <row r="10" spans="1:38" s="27" customFormat="1" ht="15.75">
      <c r="A10" s="32">
        <v>7</v>
      </c>
      <c r="B10" s="13">
        <v>45933</v>
      </c>
      <c r="C10" s="13">
        <v>45933</v>
      </c>
      <c r="D10" s="31">
        <v>251003006</v>
      </c>
      <c r="E10" s="14" t="s">
        <v>56</v>
      </c>
      <c r="F10" s="14" t="s">
        <v>57</v>
      </c>
      <c r="G10" s="14">
        <v>25</v>
      </c>
      <c r="H10" s="41">
        <v>115</v>
      </c>
      <c r="I10" s="36" t="s">
        <v>46</v>
      </c>
      <c r="J10" s="42" t="s">
        <v>23</v>
      </c>
      <c r="K10" s="43" t="s">
        <v>38</v>
      </c>
      <c r="L10" s="14" t="s">
        <v>58</v>
      </c>
      <c r="M10" s="14" t="s">
        <v>48</v>
      </c>
      <c r="N10" s="44">
        <v>64.88</v>
      </c>
      <c r="O10" s="44">
        <v>16.16</v>
      </c>
      <c r="P10" s="18">
        <f t="shared" si="0"/>
        <v>48.72</v>
      </c>
      <c r="Q10" s="14">
        <v>545</v>
      </c>
      <c r="R10" s="19">
        <f t="shared" si="1"/>
        <v>26552.399999999998</v>
      </c>
      <c r="S10" s="14"/>
      <c r="T10" s="15"/>
      <c r="V10" s="15" t="s">
        <v>24</v>
      </c>
      <c r="W10" s="16">
        <v>145</v>
      </c>
      <c r="X10" s="37">
        <f t="shared" si="2"/>
        <v>7064.4</v>
      </c>
      <c r="Y10" s="25">
        <v>260</v>
      </c>
      <c r="Z10" s="15">
        <f t="shared" si="3"/>
        <v>12667.199999999999</v>
      </c>
      <c r="AA10" s="45">
        <f t="shared" si="4"/>
        <v>46283.999999999993</v>
      </c>
    </row>
    <row r="11" spans="1:38" s="27" customFormat="1" ht="17.100000000000001" customHeight="1">
      <c r="A11" s="32">
        <v>8</v>
      </c>
      <c r="B11" s="13">
        <v>45933</v>
      </c>
      <c r="C11" s="13">
        <v>45933</v>
      </c>
      <c r="D11" s="31">
        <v>251003007</v>
      </c>
      <c r="E11" s="14" t="s">
        <v>59</v>
      </c>
      <c r="F11" s="14" t="s">
        <v>60</v>
      </c>
      <c r="G11" s="14">
        <v>25</v>
      </c>
      <c r="H11" s="41">
        <v>115</v>
      </c>
      <c r="I11" s="36" t="s">
        <v>46</v>
      </c>
      <c r="J11" s="42" t="s">
        <v>23</v>
      </c>
      <c r="K11" s="43" t="s">
        <v>38</v>
      </c>
      <c r="L11" s="14" t="s">
        <v>61</v>
      </c>
      <c r="M11" s="14" t="s">
        <v>55</v>
      </c>
      <c r="N11" s="44">
        <v>66.84</v>
      </c>
      <c r="O11" s="44">
        <v>15.72</v>
      </c>
      <c r="P11" s="14">
        <f t="shared" si="0"/>
        <v>51.120000000000005</v>
      </c>
      <c r="Q11" s="14">
        <v>445</v>
      </c>
      <c r="R11" s="19">
        <f t="shared" si="1"/>
        <v>22748.400000000001</v>
      </c>
      <c r="S11" s="46"/>
      <c r="T11" s="47"/>
      <c r="V11" s="15" t="s">
        <v>24</v>
      </c>
      <c r="W11" s="16">
        <v>145</v>
      </c>
      <c r="X11" s="37">
        <f t="shared" si="2"/>
        <v>7412.4000000000005</v>
      </c>
      <c r="Y11" s="25">
        <v>260</v>
      </c>
      <c r="Z11" s="15">
        <f t="shared" si="3"/>
        <v>13291.2</v>
      </c>
      <c r="AA11" s="15">
        <f t="shared" si="4"/>
        <v>43452</v>
      </c>
      <c r="AB11" s="49"/>
      <c r="AC11" s="48"/>
      <c r="AD11" s="50"/>
      <c r="AE11" s="51"/>
      <c r="AF11" s="48"/>
      <c r="AG11" s="51"/>
      <c r="AH11" s="48"/>
      <c r="AI11" s="50"/>
      <c r="AJ11" s="48"/>
      <c r="AK11" s="50"/>
      <c r="AL11" s="50"/>
    </row>
    <row r="12" spans="1:38" s="27" customFormat="1" ht="15.75">
      <c r="A12" s="32">
        <v>9</v>
      </c>
      <c r="B12" s="13">
        <v>45933</v>
      </c>
      <c r="C12" s="13">
        <v>45933</v>
      </c>
      <c r="D12" s="31">
        <v>251003008</v>
      </c>
      <c r="E12" s="14" t="s">
        <v>62</v>
      </c>
      <c r="F12" s="14" t="s">
        <v>63</v>
      </c>
      <c r="G12" s="14">
        <v>25</v>
      </c>
      <c r="H12" s="41">
        <v>115</v>
      </c>
      <c r="I12" s="36" t="s">
        <v>46</v>
      </c>
      <c r="J12" s="42" t="s">
        <v>23</v>
      </c>
      <c r="K12" s="43" t="s">
        <v>38</v>
      </c>
      <c r="L12" s="14" t="s">
        <v>64</v>
      </c>
      <c r="M12" s="14" t="s">
        <v>48</v>
      </c>
      <c r="N12" s="44">
        <v>67.34</v>
      </c>
      <c r="O12" s="44">
        <v>16.22</v>
      </c>
      <c r="P12" s="18">
        <f t="shared" si="0"/>
        <v>51.120000000000005</v>
      </c>
      <c r="Q12" s="14">
        <v>545</v>
      </c>
      <c r="R12" s="19">
        <f t="shared" si="1"/>
        <v>27860.400000000001</v>
      </c>
      <c r="S12" s="15"/>
      <c r="T12" s="15"/>
      <c r="V12" s="15" t="s">
        <v>24</v>
      </c>
      <c r="W12" s="16">
        <v>145</v>
      </c>
      <c r="X12" s="37">
        <f t="shared" si="2"/>
        <v>7412.4000000000005</v>
      </c>
      <c r="Y12" s="25">
        <v>260</v>
      </c>
      <c r="Z12" s="15">
        <f t="shared" si="3"/>
        <v>13291.2</v>
      </c>
      <c r="AA12" s="15">
        <f t="shared" si="4"/>
        <v>48564</v>
      </c>
    </row>
    <row r="13" spans="1:38" s="27" customFormat="1" ht="15.75">
      <c r="A13" s="32">
        <v>10</v>
      </c>
      <c r="B13" s="13">
        <v>45933</v>
      </c>
      <c r="C13" s="13">
        <v>45933</v>
      </c>
      <c r="D13" s="31">
        <v>251003009</v>
      </c>
      <c r="E13" s="14" t="s">
        <v>65</v>
      </c>
      <c r="F13" s="14" t="s">
        <v>66</v>
      </c>
      <c r="G13" s="14">
        <v>25</v>
      </c>
      <c r="H13" s="41">
        <v>115</v>
      </c>
      <c r="I13" s="36" t="s">
        <v>46</v>
      </c>
      <c r="J13" s="42" t="s">
        <v>23</v>
      </c>
      <c r="K13" s="43" t="s">
        <v>38</v>
      </c>
      <c r="L13" s="14" t="s">
        <v>67</v>
      </c>
      <c r="M13" s="14" t="s">
        <v>55</v>
      </c>
      <c r="N13" s="14">
        <v>65.28</v>
      </c>
      <c r="O13" s="44">
        <v>15.98</v>
      </c>
      <c r="P13" s="18">
        <f t="shared" si="0"/>
        <v>49.3</v>
      </c>
      <c r="Q13" s="14">
        <v>445</v>
      </c>
      <c r="R13" s="19">
        <f t="shared" si="1"/>
        <v>21938.5</v>
      </c>
      <c r="S13" s="15"/>
      <c r="T13" s="15"/>
      <c r="V13" s="15" t="s">
        <v>24</v>
      </c>
      <c r="W13" s="16">
        <v>145</v>
      </c>
      <c r="X13" s="37">
        <f t="shared" si="2"/>
        <v>7148.5</v>
      </c>
      <c r="Y13" s="25">
        <v>260</v>
      </c>
      <c r="Z13" s="15">
        <f t="shared" si="3"/>
        <v>12818</v>
      </c>
      <c r="AA13" s="15">
        <f t="shared" si="4"/>
        <v>41905</v>
      </c>
    </row>
    <row r="14" spans="1:38" s="27" customFormat="1" ht="15.75">
      <c r="A14" s="32">
        <v>11</v>
      </c>
      <c r="B14" s="13">
        <v>45933</v>
      </c>
      <c r="C14" s="13">
        <v>45933</v>
      </c>
      <c r="D14" s="31">
        <v>251003010</v>
      </c>
      <c r="E14" s="14" t="s">
        <v>68</v>
      </c>
      <c r="F14" s="14" t="s">
        <v>69</v>
      </c>
      <c r="G14" s="14">
        <v>25</v>
      </c>
      <c r="H14" s="41">
        <v>115</v>
      </c>
      <c r="I14" s="36" t="s">
        <v>46</v>
      </c>
      <c r="J14" s="42" t="s">
        <v>23</v>
      </c>
      <c r="K14" s="43" t="s">
        <v>38</v>
      </c>
      <c r="L14" s="14" t="s">
        <v>70</v>
      </c>
      <c r="M14" s="14" t="s">
        <v>55</v>
      </c>
      <c r="N14" s="14">
        <v>54.7</v>
      </c>
      <c r="O14" s="14">
        <v>11.94</v>
      </c>
      <c r="P14" s="18">
        <f t="shared" si="0"/>
        <v>42.760000000000005</v>
      </c>
      <c r="Q14" s="14">
        <v>445</v>
      </c>
      <c r="R14" s="19">
        <f t="shared" si="1"/>
        <v>19028.2</v>
      </c>
      <c r="S14" s="14"/>
      <c r="T14" s="15"/>
      <c r="V14" s="15" t="s">
        <v>24</v>
      </c>
      <c r="W14" s="16">
        <v>145</v>
      </c>
      <c r="X14" s="37">
        <f t="shared" si="2"/>
        <v>6200.2000000000007</v>
      </c>
      <c r="Y14" s="25">
        <v>260</v>
      </c>
      <c r="Z14" s="15">
        <f t="shared" si="3"/>
        <v>11117.600000000002</v>
      </c>
      <c r="AA14" s="15">
        <f t="shared" si="4"/>
        <v>36346</v>
      </c>
    </row>
    <row r="15" spans="1:38" s="40" customFormat="1" ht="15.75">
      <c r="A15" s="32">
        <v>12</v>
      </c>
      <c r="B15" s="13">
        <v>45933</v>
      </c>
      <c r="C15" s="13">
        <v>45933</v>
      </c>
      <c r="D15" s="31">
        <v>251003011</v>
      </c>
      <c r="E15" s="14" t="s">
        <v>71</v>
      </c>
      <c r="F15" s="14" t="s">
        <v>72</v>
      </c>
      <c r="G15" s="14">
        <v>25</v>
      </c>
      <c r="H15" s="41">
        <v>115</v>
      </c>
      <c r="I15" s="36" t="s">
        <v>46</v>
      </c>
      <c r="J15" s="42" t="s">
        <v>23</v>
      </c>
      <c r="K15" s="43" t="s">
        <v>38</v>
      </c>
      <c r="L15" s="14" t="s">
        <v>73</v>
      </c>
      <c r="M15" s="14" t="s">
        <v>40</v>
      </c>
      <c r="N15" s="14">
        <v>64.8</v>
      </c>
      <c r="O15" s="14">
        <v>18.899999999999999</v>
      </c>
      <c r="P15" s="18">
        <f t="shared" si="0"/>
        <v>45.9</v>
      </c>
      <c r="Q15" s="14">
        <v>315</v>
      </c>
      <c r="R15" s="19">
        <f t="shared" si="1"/>
        <v>14458.5</v>
      </c>
      <c r="S15" s="14"/>
      <c r="T15" s="15"/>
      <c r="V15" s="15" t="s">
        <v>24</v>
      </c>
      <c r="W15" s="16">
        <v>145</v>
      </c>
      <c r="X15" s="37">
        <f t="shared" si="2"/>
        <v>6655.5</v>
      </c>
      <c r="Y15" s="25">
        <v>260</v>
      </c>
      <c r="Z15" s="15">
        <f t="shared" si="3"/>
        <v>11934</v>
      </c>
      <c r="AA15" s="15">
        <f t="shared" si="4"/>
        <v>33048</v>
      </c>
    </row>
    <row r="16" spans="1:38" s="27" customFormat="1" ht="15.75">
      <c r="A16" s="32">
        <v>13</v>
      </c>
      <c r="B16" s="13">
        <v>45933</v>
      </c>
      <c r="C16" s="13">
        <v>45933</v>
      </c>
      <c r="D16" s="31">
        <v>251003012</v>
      </c>
      <c r="E16" s="14" t="s">
        <v>74</v>
      </c>
      <c r="F16" s="14" t="s">
        <v>75</v>
      </c>
      <c r="G16" s="14">
        <v>25</v>
      </c>
      <c r="H16" s="41">
        <v>115</v>
      </c>
      <c r="I16" s="36" t="s">
        <v>46</v>
      </c>
      <c r="J16" s="42" t="s">
        <v>23</v>
      </c>
      <c r="K16" s="43" t="s">
        <v>38</v>
      </c>
      <c r="L16" s="30" t="s">
        <v>76</v>
      </c>
      <c r="M16" s="14" t="s">
        <v>48</v>
      </c>
      <c r="N16" s="14">
        <v>67.42</v>
      </c>
      <c r="O16" s="14">
        <v>18.16</v>
      </c>
      <c r="P16" s="38">
        <f t="shared" si="0"/>
        <v>49.260000000000005</v>
      </c>
      <c r="Q16" s="14">
        <v>545</v>
      </c>
      <c r="R16" s="19">
        <f t="shared" si="1"/>
        <v>26846.700000000004</v>
      </c>
      <c r="S16" s="16"/>
      <c r="T16" s="25"/>
      <c r="V16" s="15" t="s">
        <v>24</v>
      </c>
      <c r="W16" s="16">
        <v>145</v>
      </c>
      <c r="X16" s="37">
        <f t="shared" si="2"/>
        <v>7142.7000000000007</v>
      </c>
      <c r="Y16" s="25">
        <v>260</v>
      </c>
      <c r="Z16" s="25">
        <f t="shared" si="3"/>
        <v>12807.600000000002</v>
      </c>
      <c r="AA16" s="25">
        <f t="shared" si="4"/>
        <v>46797.000000000015</v>
      </c>
    </row>
    <row r="17" spans="1:27" s="27" customFormat="1" ht="15.75">
      <c r="A17" s="32">
        <v>14</v>
      </c>
      <c r="B17" s="13">
        <v>45933</v>
      </c>
      <c r="C17" s="13">
        <v>45933</v>
      </c>
      <c r="D17" s="31">
        <v>251003013</v>
      </c>
      <c r="E17" s="14" t="s">
        <v>77</v>
      </c>
      <c r="F17" s="14" t="s">
        <v>78</v>
      </c>
      <c r="G17" s="14">
        <v>25</v>
      </c>
      <c r="H17" s="41">
        <v>115</v>
      </c>
      <c r="I17" s="36" t="s">
        <v>46</v>
      </c>
      <c r="J17" s="42" t="s">
        <v>23</v>
      </c>
      <c r="K17" s="43" t="s">
        <v>38</v>
      </c>
      <c r="L17" s="30" t="s">
        <v>79</v>
      </c>
      <c r="M17" s="14" t="s">
        <v>55</v>
      </c>
      <c r="N17" s="14">
        <v>66.680000000000007</v>
      </c>
      <c r="O17" s="44">
        <v>15.84</v>
      </c>
      <c r="P17" s="18">
        <f t="shared" si="0"/>
        <v>50.84</v>
      </c>
      <c r="Q17" s="14">
        <v>445</v>
      </c>
      <c r="R17" s="19">
        <f t="shared" si="1"/>
        <v>22623.800000000003</v>
      </c>
      <c r="S17" s="14"/>
      <c r="T17" s="15"/>
      <c r="V17" s="15" t="s">
        <v>24</v>
      </c>
      <c r="W17" s="16">
        <v>145</v>
      </c>
      <c r="X17" s="37">
        <f t="shared" si="2"/>
        <v>7371.8</v>
      </c>
      <c r="Y17" s="25">
        <v>260</v>
      </c>
      <c r="Z17" s="15">
        <f t="shared" si="3"/>
        <v>13218.400000000001</v>
      </c>
      <c r="AA17" s="15">
        <f t="shared" si="4"/>
        <v>43214</v>
      </c>
    </row>
    <row r="18" spans="1:27" s="40" customFormat="1" ht="15.75">
      <c r="A18" s="32">
        <v>15</v>
      </c>
      <c r="B18" s="13">
        <v>45933</v>
      </c>
      <c r="C18" s="13">
        <v>45933</v>
      </c>
      <c r="D18" s="31">
        <v>251003014</v>
      </c>
      <c r="E18" s="14" t="s">
        <v>80</v>
      </c>
      <c r="F18" s="14" t="s">
        <v>81</v>
      </c>
      <c r="G18" s="14">
        <v>25</v>
      </c>
      <c r="H18" s="41">
        <v>115</v>
      </c>
      <c r="I18" s="36" t="s">
        <v>46</v>
      </c>
      <c r="J18" s="42" t="s">
        <v>23</v>
      </c>
      <c r="K18" s="43" t="s">
        <v>38</v>
      </c>
      <c r="L18" s="14" t="s">
        <v>82</v>
      </c>
      <c r="M18" s="14" t="s">
        <v>40</v>
      </c>
      <c r="N18" s="14">
        <v>58.44</v>
      </c>
      <c r="O18" s="44">
        <v>14.98</v>
      </c>
      <c r="P18" s="18">
        <f t="shared" si="0"/>
        <v>43.459999999999994</v>
      </c>
      <c r="Q18" s="14">
        <v>315</v>
      </c>
      <c r="R18" s="19">
        <f t="shared" si="1"/>
        <v>13689.899999999998</v>
      </c>
      <c r="S18" s="14"/>
      <c r="T18" s="15"/>
      <c r="V18" s="15" t="s">
        <v>24</v>
      </c>
      <c r="W18" s="16">
        <v>145</v>
      </c>
      <c r="X18" s="37">
        <f t="shared" si="2"/>
        <v>6301.6999999999989</v>
      </c>
      <c r="Y18" s="25">
        <v>260</v>
      </c>
      <c r="Z18" s="15">
        <f t="shared" si="3"/>
        <v>11299.599999999999</v>
      </c>
      <c r="AA18" s="15">
        <f t="shared" si="4"/>
        <v>31291.199999999997</v>
      </c>
    </row>
    <row r="19" spans="1:27" s="27" customFormat="1" ht="15.75">
      <c r="A19" s="32">
        <v>16</v>
      </c>
      <c r="B19" s="13">
        <v>45933</v>
      </c>
      <c r="C19" s="13">
        <v>45933</v>
      </c>
      <c r="D19" s="30">
        <v>251003018</v>
      </c>
      <c r="E19" s="14" t="s">
        <v>83</v>
      </c>
      <c r="F19" s="14" t="s">
        <v>84</v>
      </c>
      <c r="G19" s="14">
        <v>44</v>
      </c>
      <c r="H19" s="52">
        <v>96</v>
      </c>
      <c r="I19" s="53" t="s">
        <v>85</v>
      </c>
      <c r="J19" s="42" t="s">
        <v>23</v>
      </c>
      <c r="K19" s="36" t="s">
        <v>38</v>
      </c>
      <c r="L19" s="30" t="s">
        <v>86</v>
      </c>
      <c r="M19" s="14" t="s">
        <v>48</v>
      </c>
      <c r="N19" s="14">
        <v>59.54</v>
      </c>
      <c r="O19" s="44">
        <v>15.42</v>
      </c>
      <c r="P19" s="18">
        <f t="shared" si="0"/>
        <v>44.12</v>
      </c>
      <c r="Q19" s="14">
        <v>525</v>
      </c>
      <c r="R19" s="19">
        <f t="shared" si="1"/>
        <v>23163</v>
      </c>
      <c r="S19" s="14"/>
      <c r="T19" s="15"/>
      <c r="V19" s="15" t="s">
        <v>24</v>
      </c>
      <c r="W19" s="16">
        <v>145</v>
      </c>
      <c r="X19" s="37">
        <f t="shared" si="2"/>
        <v>6397.4</v>
      </c>
      <c r="Y19" s="25"/>
      <c r="Z19" s="15">
        <f t="shared" si="3"/>
        <v>0</v>
      </c>
      <c r="AA19" s="15">
        <f t="shared" si="4"/>
        <v>29560.400000000001</v>
      </c>
    </row>
    <row r="20" spans="1:27" s="27" customFormat="1" ht="15.75">
      <c r="A20" s="32">
        <v>17</v>
      </c>
      <c r="B20" s="13">
        <v>45933</v>
      </c>
      <c r="C20" s="13">
        <v>45933</v>
      </c>
      <c r="D20" s="30">
        <v>251003017</v>
      </c>
      <c r="E20" s="14" t="s">
        <v>87</v>
      </c>
      <c r="F20" s="14" t="s">
        <v>88</v>
      </c>
      <c r="G20" s="16">
        <v>25</v>
      </c>
      <c r="H20" s="33">
        <v>24</v>
      </c>
      <c r="I20" s="34" t="s">
        <v>37</v>
      </c>
      <c r="J20" s="35" t="s">
        <v>23</v>
      </c>
      <c r="K20" s="36" t="s">
        <v>38</v>
      </c>
      <c r="L20" s="16" t="s">
        <v>89</v>
      </c>
      <c r="M20" s="16" t="s">
        <v>40</v>
      </c>
      <c r="N20" s="44">
        <v>49.74</v>
      </c>
      <c r="O20" s="14">
        <v>11.78</v>
      </c>
      <c r="P20" s="18">
        <f t="shared" si="0"/>
        <v>37.96</v>
      </c>
      <c r="Q20" s="14">
        <v>335</v>
      </c>
      <c r="R20" s="19">
        <f t="shared" si="1"/>
        <v>12716.6</v>
      </c>
      <c r="S20" s="14"/>
      <c r="T20" s="15"/>
      <c r="V20" s="15" t="s">
        <v>24</v>
      </c>
      <c r="W20" s="16">
        <v>145</v>
      </c>
      <c r="X20" s="37">
        <f t="shared" si="2"/>
        <v>5504.2</v>
      </c>
      <c r="Y20" s="25">
        <v>260</v>
      </c>
      <c r="Z20" s="15">
        <f t="shared" si="3"/>
        <v>9869.6</v>
      </c>
      <c r="AA20" s="15">
        <f t="shared" si="4"/>
        <v>28090.400000000001</v>
      </c>
    </row>
    <row r="21" spans="1:27" s="27" customFormat="1" ht="15.75">
      <c r="A21" s="32">
        <v>18</v>
      </c>
      <c r="B21" s="13">
        <v>45933</v>
      </c>
      <c r="C21" s="13">
        <v>45933</v>
      </c>
      <c r="D21" s="30">
        <v>251003015</v>
      </c>
      <c r="E21" s="14" t="s">
        <v>90</v>
      </c>
      <c r="F21" s="14" t="s">
        <v>91</v>
      </c>
      <c r="G21" s="16">
        <v>25</v>
      </c>
      <c r="H21" s="33">
        <v>24</v>
      </c>
      <c r="I21" s="34" t="s">
        <v>37</v>
      </c>
      <c r="J21" s="35" t="s">
        <v>23</v>
      </c>
      <c r="K21" s="36" t="s">
        <v>38</v>
      </c>
      <c r="L21" s="16" t="s">
        <v>92</v>
      </c>
      <c r="M21" s="16" t="s">
        <v>40</v>
      </c>
      <c r="N21" s="14">
        <v>60.28</v>
      </c>
      <c r="O21" s="44">
        <v>15.8</v>
      </c>
      <c r="P21" s="18">
        <f t="shared" si="0"/>
        <v>44.480000000000004</v>
      </c>
      <c r="Q21" s="14">
        <v>335</v>
      </c>
      <c r="R21" s="19">
        <f t="shared" si="1"/>
        <v>14900.800000000001</v>
      </c>
      <c r="S21" s="14"/>
      <c r="T21" s="15"/>
      <c r="V21" s="15" t="s">
        <v>24</v>
      </c>
      <c r="W21" s="16">
        <v>145</v>
      </c>
      <c r="X21" s="37">
        <f t="shared" si="2"/>
        <v>6449.6</v>
      </c>
      <c r="Y21" s="25">
        <v>260</v>
      </c>
      <c r="Z21" s="15">
        <f t="shared" si="3"/>
        <v>11564.800000000001</v>
      </c>
      <c r="AA21" s="15">
        <f t="shared" si="4"/>
        <v>32915.200000000004</v>
      </c>
    </row>
    <row r="22" spans="1:27" s="27" customFormat="1" ht="15.75">
      <c r="A22" s="32">
        <v>19</v>
      </c>
      <c r="B22" s="13">
        <v>45933</v>
      </c>
      <c r="C22" s="13">
        <v>45933</v>
      </c>
      <c r="D22" s="30">
        <v>251003016</v>
      </c>
      <c r="E22" s="14" t="s">
        <v>93</v>
      </c>
      <c r="F22" s="14" t="s">
        <v>94</v>
      </c>
      <c r="G22" s="16">
        <v>25</v>
      </c>
      <c r="H22" s="33">
        <v>24</v>
      </c>
      <c r="I22" s="34" t="s">
        <v>37</v>
      </c>
      <c r="J22" s="35" t="s">
        <v>23</v>
      </c>
      <c r="K22" s="36" t="s">
        <v>38</v>
      </c>
      <c r="L22" s="16" t="s">
        <v>95</v>
      </c>
      <c r="M22" s="16" t="s">
        <v>40</v>
      </c>
      <c r="N22" s="44">
        <v>51.5</v>
      </c>
      <c r="O22" s="44">
        <v>12.22</v>
      </c>
      <c r="P22" s="18">
        <f t="shared" si="0"/>
        <v>39.28</v>
      </c>
      <c r="Q22" s="14">
        <v>335</v>
      </c>
      <c r="R22" s="19">
        <f t="shared" si="1"/>
        <v>13158.800000000001</v>
      </c>
      <c r="S22" s="14"/>
      <c r="T22" s="15"/>
      <c r="V22" s="15" t="s">
        <v>24</v>
      </c>
      <c r="W22" s="16">
        <v>145</v>
      </c>
      <c r="X22" s="37">
        <f t="shared" si="2"/>
        <v>5695.6</v>
      </c>
      <c r="Y22" s="25">
        <v>260</v>
      </c>
      <c r="Z22" s="15">
        <f t="shared" si="3"/>
        <v>10212.800000000001</v>
      </c>
      <c r="AA22" s="15">
        <f t="shared" si="4"/>
        <v>29067.200000000004</v>
      </c>
    </row>
    <row r="23" spans="1:27" s="40" customFormat="1" ht="15.75">
      <c r="A23" s="32">
        <v>20</v>
      </c>
      <c r="B23" s="13">
        <v>45933</v>
      </c>
      <c r="C23" s="13">
        <v>45934</v>
      </c>
      <c r="D23" s="30">
        <v>251004001</v>
      </c>
      <c r="E23" s="14" t="s">
        <v>96</v>
      </c>
      <c r="F23" s="14" t="s">
        <v>97</v>
      </c>
      <c r="G23" s="14">
        <v>25</v>
      </c>
      <c r="H23" s="41">
        <v>115</v>
      </c>
      <c r="I23" s="36" t="s">
        <v>46</v>
      </c>
      <c r="J23" s="42" t="s">
        <v>23</v>
      </c>
      <c r="K23" s="43" t="s">
        <v>38</v>
      </c>
      <c r="L23" s="14" t="s">
        <v>98</v>
      </c>
      <c r="M23" s="14" t="s">
        <v>40</v>
      </c>
      <c r="N23" s="14">
        <v>45.44</v>
      </c>
      <c r="O23" s="14">
        <v>11.88</v>
      </c>
      <c r="P23" s="18">
        <f t="shared" si="0"/>
        <v>33.559999999999995</v>
      </c>
      <c r="Q23" s="14">
        <v>315</v>
      </c>
      <c r="R23" s="19">
        <f t="shared" si="1"/>
        <v>10571.399999999998</v>
      </c>
      <c r="S23" s="14"/>
      <c r="T23" s="15"/>
      <c r="V23" s="15" t="s">
        <v>24</v>
      </c>
      <c r="W23" s="16">
        <v>145</v>
      </c>
      <c r="X23" s="37">
        <f t="shared" si="2"/>
        <v>4866.1999999999989</v>
      </c>
      <c r="Y23" s="25">
        <v>260</v>
      </c>
      <c r="Z23" s="15">
        <f t="shared" si="3"/>
        <v>8725.5999999999985</v>
      </c>
      <c r="AA23" s="15">
        <f t="shared" si="4"/>
        <v>24163.199999999997</v>
      </c>
    </row>
    <row r="24" spans="1:27" s="40" customFormat="1" ht="15.75">
      <c r="A24" s="32">
        <v>21</v>
      </c>
      <c r="B24" s="13">
        <v>45933</v>
      </c>
      <c r="C24" s="13">
        <v>45934</v>
      </c>
      <c r="D24" s="30">
        <v>251004002</v>
      </c>
      <c r="E24" s="14" t="s">
        <v>99</v>
      </c>
      <c r="F24" s="14" t="s">
        <v>100</v>
      </c>
      <c r="G24" s="14">
        <v>25</v>
      </c>
      <c r="H24" s="41">
        <v>115</v>
      </c>
      <c r="I24" s="36" t="s">
        <v>46</v>
      </c>
      <c r="J24" s="42" t="s">
        <v>23</v>
      </c>
      <c r="K24" s="36" t="s">
        <v>38</v>
      </c>
      <c r="L24" s="14" t="s">
        <v>101</v>
      </c>
      <c r="M24" s="14" t="s">
        <v>40</v>
      </c>
      <c r="N24" s="14">
        <v>45.68</v>
      </c>
      <c r="O24" s="14">
        <v>11.58</v>
      </c>
      <c r="P24" s="18">
        <f t="shared" si="0"/>
        <v>34.1</v>
      </c>
      <c r="Q24" s="14">
        <v>315</v>
      </c>
      <c r="R24" s="19">
        <f t="shared" si="1"/>
        <v>10741.5</v>
      </c>
      <c r="S24" s="14"/>
      <c r="T24" s="15"/>
      <c r="V24" s="15" t="s">
        <v>24</v>
      </c>
      <c r="W24" s="16">
        <v>145</v>
      </c>
      <c r="X24" s="25">
        <f t="shared" si="2"/>
        <v>4944.5</v>
      </c>
      <c r="Y24" s="25">
        <v>260</v>
      </c>
      <c r="Z24" s="15">
        <f t="shared" si="3"/>
        <v>8866</v>
      </c>
      <c r="AA24" s="15">
        <f t="shared" si="4"/>
        <v>24552</v>
      </c>
    </row>
    <row r="25" spans="1:27" s="27" customFormat="1">
      <c r="A25" s="32">
        <v>22</v>
      </c>
      <c r="B25" s="13">
        <v>45934</v>
      </c>
      <c r="C25" s="13">
        <v>45934</v>
      </c>
      <c r="D25" s="54">
        <v>251004003</v>
      </c>
      <c r="E25" s="14" t="s">
        <v>102</v>
      </c>
      <c r="F25" s="14" t="s">
        <v>103</v>
      </c>
      <c r="G25" s="14">
        <v>25</v>
      </c>
      <c r="H25" s="55">
        <v>24</v>
      </c>
      <c r="I25" s="36" t="s">
        <v>37</v>
      </c>
      <c r="J25" s="35" t="s">
        <v>23</v>
      </c>
      <c r="K25" s="36" t="s">
        <v>38</v>
      </c>
      <c r="L25" s="56" t="s">
        <v>39</v>
      </c>
      <c r="M25" s="14" t="s">
        <v>40</v>
      </c>
      <c r="N25" s="14">
        <v>41.72</v>
      </c>
      <c r="O25" s="14">
        <v>10.6</v>
      </c>
      <c r="P25" s="18">
        <f t="shared" si="0"/>
        <v>31.119999999999997</v>
      </c>
      <c r="Q25" s="14">
        <v>335</v>
      </c>
      <c r="R25" s="19">
        <f t="shared" si="1"/>
        <v>10425.199999999999</v>
      </c>
      <c r="S25" s="14"/>
      <c r="T25" s="15"/>
      <c r="V25" s="15" t="s">
        <v>24</v>
      </c>
      <c r="W25" s="16">
        <v>145</v>
      </c>
      <c r="X25" s="37">
        <f t="shared" si="2"/>
        <v>4512.3999999999996</v>
      </c>
      <c r="Y25" s="25">
        <v>260</v>
      </c>
      <c r="Z25" s="15">
        <f t="shared" si="3"/>
        <v>8091.1999999999989</v>
      </c>
      <c r="AA25" s="15">
        <f t="shared" si="4"/>
        <v>23028.799999999996</v>
      </c>
    </row>
    <row r="26" spans="1:27" s="27" customFormat="1">
      <c r="A26" s="32">
        <v>23</v>
      </c>
      <c r="B26" s="13">
        <v>45934</v>
      </c>
      <c r="C26" s="13">
        <v>45934</v>
      </c>
      <c r="D26" s="54">
        <v>251004004</v>
      </c>
      <c r="E26" s="14" t="s">
        <v>104</v>
      </c>
      <c r="F26" s="14" t="s">
        <v>105</v>
      </c>
      <c r="G26" s="14">
        <v>25</v>
      </c>
      <c r="H26" s="57">
        <v>117</v>
      </c>
      <c r="I26" s="58" t="s">
        <v>106</v>
      </c>
      <c r="J26" s="42" t="s">
        <v>23</v>
      </c>
      <c r="K26" s="36" t="s">
        <v>38</v>
      </c>
      <c r="L26" s="56" t="s">
        <v>107</v>
      </c>
      <c r="M26" s="14" t="s">
        <v>48</v>
      </c>
      <c r="N26" s="14">
        <v>45.44</v>
      </c>
      <c r="O26" s="14">
        <v>11.84</v>
      </c>
      <c r="P26" s="38">
        <f t="shared" si="0"/>
        <v>33.599999999999994</v>
      </c>
      <c r="Q26" s="14">
        <v>555</v>
      </c>
      <c r="R26" s="39">
        <f t="shared" si="1"/>
        <v>18647.999999999996</v>
      </c>
      <c r="S26" s="15"/>
      <c r="T26" s="25"/>
      <c r="V26" s="15" t="s">
        <v>24</v>
      </c>
      <c r="W26" s="16">
        <v>145</v>
      </c>
      <c r="X26" s="37">
        <f t="shared" si="2"/>
        <v>4871.9999999999991</v>
      </c>
      <c r="Y26" s="25">
        <v>230</v>
      </c>
      <c r="Z26" s="25">
        <f t="shared" si="3"/>
        <v>7727.9999999999991</v>
      </c>
      <c r="AA26" s="25">
        <f t="shared" si="4"/>
        <v>31247.999999999996</v>
      </c>
    </row>
    <row r="27" spans="1:27" s="27" customFormat="1">
      <c r="A27" s="32">
        <v>24</v>
      </c>
      <c r="B27" s="13">
        <v>45934</v>
      </c>
      <c r="C27" s="13">
        <v>45934</v>
      </c>
      <c r="D27" s="54">
        <v>251004005</v>
      </c>
      <c r="E27" s="14" t="s">
        <v>108</v>
      </c>
      <c r="F27" s="14" t="s">
        <v>109</v>
      </c>
      <c r="G27" s="14">
        <v>25</v>
      </c>
      <c r="H27" s="57">
        <v>117</v>
      </c>
      <c r="I27" s="58" t="s">
        <v>106</v>
      </c>
      <c r="J27" s="42" t="s">
        <v>23</v>
      </c>
      <c r="K27" s="36" t="s">
        <v>38</v>
      </c>
      <c r="L27" s="56" t="s">
        <v>110</v>
      </c>
      <c r="M27" s="14" t="s">
        <v>48</v>
      </c>
      <c r="N27" s="14">
        <v>45.34</v>
      </c>
      <c r="O27" s="14">
        <v>11.58</v>
      </c>
      <c r="P27" s="18">
        <f t="shared" si="0"/>
        <v>33.760000000000005</v>
      </c>
      <c r="Q27" s="14">
        <v>555</v>
      </c>
      <c r="R27" s="19">
        <f t="shared" si="1"/>
        <v>18736.800000000003</v>
      </c>
      <c r="S27" s="16"/>
      <c r="T27" s="15"/>
      <c r="V27" s="15" t="s">
        <v>24</v>
      </c>
      <c r="W27" s="16">
        <v>145</v>
      </c>
      <c r="X27" s="37">
        <f t="shared" si="2"/>
        <v>4895.2000000000007</v>
      </c>
      <c r="Y27" s="25">
        <v>230</v>
      </c>
      <c r="Z27" s="15">
        <f t="shared" si="3"/>
        <v>7764.8000000000011</v>
      </c>
      <c r="AA27" s="15">
        <f t="shared" si="4"/>
        <v>31396.800000000003</v>
      </c>
    </row>
    <row r="28" spans="1:27" s="27" customFormat="1">
      <c r="A28" s="32">
        <v>25</v>
      </c>
      <c r="B28" s="13">
        <v>45934</v>
      </c>
      <c r="C28" s="13">
        <v>45934</v>
      </c>
      <c r="D28" s="54">
        <v>251004006</v>
      </c>
      <c r="E28" s="14" t="s">
        <v>111</v>
      </c>
      <c r="F28" s="14" t="s">
        <v>112</v>
      </c>
      <c r="G28" s="14">
        <v>25</v>
      </c>
      <c r="H28" s="57">
        <v>115</v>
      </c>
      <c r="I28" s="36" t="s">
        <v>46</v>
      </c>
      <c r="J28" s="42" t="s">
        <v>23</v>
      </c>
      <c r="K28" s="43" t="s">
        <v>38</v>
      </c>
      <c r="L28" s="14" t="s">
        <v>113</v>
      </c>
      <c r="M28" s="14" t="s">
        <v>55</v>
      </c>
      <c r="N28" s="14">
        <v>50.4</v>
      </c>
      <c r="O28" s="14">
        <v>11.78</v>
      </c>
      <c r="P28" s="18">
        <f t="shared" si="0"/>
        <v>38.619999999999997</v>
      </c>
      <c r="Q28" s="14">
        <v>445</v>
      </c>
      <c r="R28" s="19">
        <f t="shared" si="1"/>
        <v>17185.899999999998</v>
      </c>
      <c r="S28" s="16"/>
      <c r="T28" s="15"/>
      <c r="V28" s="15" t="s">
        <v>24</v>
      </c>
      <c r="W28" s="16">
        <v>145</v>
      </c>
      <c r="X28" s="37">
        <f t="shared" si="2"/>
        <v>5599.9</v>
      </c>
      <c r="Y28" s="25">
        <v>260</v>
      </c>
      <c r="Z28" s="15">
        <f t="shared" si="3"/>
        <v>10041.199999999999</v>
      </c>
      <c r="AA28" s="15">
        <f t="shared" si="4"/>
        <v>32826.999999999993</v>
      </c>
    </row>
    <row r="29" spans="1:27" s="40" customFormat="1">
      <c r="A29" s="32">
        <v>26</v>
      </c>
      <c r="B29" s="13">
        <v>45934</v>
      </c>
      <c r="C29" s="13">
        <v>45934</v>
      </c>
      <c r="D29" s="54">
        <v>251004007</v>
      </c>
      <c r="E29" s="14" t="s">
        <v>114</v>
      </c>
      <c r="F29" s="14" t="s">
        <v>115</v>
      </c>
      <c r="G29" s="14">
        <v>25</v>
      </c>
      <c r="H29" s="57">
        <v>115</v>
      </c>
      <c r="I29" s="36" t="s">
        <v>46</v>
      </c>
      <c r="J29" s="42" t="s">
        <v>23</v>
      </c>
      <c r="K29" s="43" t="s">
        <v>38</v>
      </c>
      <c r="L29" s="14" t="s">
        <v>116</v>
      </c>
      <c r="M29" s="14" t="s">
        <v>48</v>
      </c>
      <c r="N29" s="14">
        <v>61.04</v>
      </c>
      <c r="O29" s="14">
        <v>15</v>
      </c>
      <c r="P29" s="18">
        <f t="shared" si="0"/>
        <v>46.04</v>
      </c>
      <c r="Q29" s="14">
        <v>545</v>
      </c>
      <c r="R29" s="19">
        <f t="shared" si="1"/>
        <v>25091.8</v>
      </c>
      <c r="S29" s="16"/>
      <c r="T29" s="15"/>
      <c r="V29" s="15" t="s">
        <v>24</v>
      </c>
      <c r="W29" s="16">
        <v>145</v>
      </c>
      <c r="X29" s="37">
        <f t="shared" si="2"/>
        <v>6675.8</v>
      </c>
      <c r="Y29" s="25">
        <v>260</v>
      </c>
      <c r="Z29" s="15">
        <f t="shared" si="3"/>
        <v>11970.4</v>
      </c>
      <c r="AA29" s="15">
        <f t="shared" si="4"/>
        <v>43738</v>
      </c>
    </row>
    <row r="30" spans="1:27" s="27" customFormat="1">
      <c r="A30" s="32">
        <v>27</v>
      </c>
      <c r="B30" s="13">
        <v>45934</v>
      </c>
      <c r="C30" s="13">
        <v>45934</v>
      </c>
      <c r="D30" s="54">
        <v>251004008</v>
      </c>
      <c r="E30" s="14" t="s">
        <v>117</v>
      </c>
      <c r="F30" s="14" t="s">
        <v>118</v>
      </c>
      <c r="G30" s="14">
        <v>25</v>
      </c>
      <c r="H30" s="57">
        <v>115</v>
      </c>
      <c r="I30" s="36" t="s">
        <v>46</v>
      </c>
      <c r="J30" s="42" t="s">
        <v>23</v>
      </c>
      <c r="K30" s="43" t="s">
        <v>38</v>
      </c>
      <c r="L30" s="14" t="s">
        <v>119</v>
      </c>
      <c r="M30" s="14" t="s">
        <v>48</v>
      </c>
      <c r="N30" s="14">
        <v>66.02</v>
      </c>
      <c r="O30" s="14">
        <v>18.100000000000001</v>
      </c>
      <c r="P30" s="18">
        <f t="shared" si="0"/>
        <v>47.919999999999995</v>
      </c>
      <c r="Q30" s="14">
        <v>545</v>
      </c>
      <c r="R30" s="19">
        <f t="shared" si="1"/>
        <v>26116.399999999998</v>
      </c>
      <c r="S30" s="25"/>
      <c r="T30" s="15"/>
      <c r="V30" s="15" t="s">
        <v>24</v>
      </c>
      <c r="W30" s="16">
        <v>145</v>
      </c>
      <c r="X30" s="37">
        <f t="shared" si="2"/>
        <v>6948.4</v>
      </c>
      <c r="Y30" s="25">
        <v>260</v>
      </c>
      <c r="Z30" s="15">
        <f t="shared" si="3"/>
        <v>12459.199999999999</v>
      </c>
      <c r="AA30" s="15">
        <f t="shared" si="4"/>
        <v>45523.999999999993</v>
      </c>
    </row>
    <row r="31" spans="1:27" s="27" customFormat="1">
      <c r="A31" s="32">
        <v>28</v>
      </c>
      <c r="B31" s="13">
        <v>45934</v>
      </c>
      <c r="C31" s="13">
        <v>45934</v>
      </c>
      <c r="D31" s="54">
        <v>251004009</v>
      </c>
      <c r="E31" s="14" t="s">
        <v>120</v>
      </c>
      <c r="F31" s="14" t="s">
        <v>121</v>
      </c>
      <c r="G31" s="14">
        <v>25</v>
      </c>
      <c r="H31" s="57">
        <v>115</v>
      </c>
      <c r="I31" s="36" t="s">
        <v>46</v>
      </c>
      <c r="J31" s="42" t="s">
        <v>23</v>
      </c>
      <c r="K31" s="43" t="s">
        <v>38</v>
      </c>
      <c r="L31" s="14" t="s">
        <v>122</v>
      </c>
      <c r="M31" s="14" t="s">
        <v>48</v>
      </c>
      <c r="N31" s="44">
        <v>60.7</v>
      </c>
      <c r="O31" s="14">
        <v>15.98</v>
      </c>
      <c r="P31" s="18">
        <f t="shared" si="0"/>
        <v>44.72</v>
      </c>
      <c r="Q31" s="14">
        <v>545</v>
      </c>
      <c r="R31" s="19">
        <f t="shared" si="1"/>
        <v>24372.399999999998</v>
      </c>
      <c r="S31" s="14"/>
      <c r="T31" s="15"/>
      <c r="V31" s="15" t="s">
        <v>24</v>
      </c>
      <c r="W31" s="16">
        <v>145</v>
      </c>
      <c r="X31" s="37">
        <f t="shared" si="2"/>
        <v>6484.4</v>
      </c>
      <c r="Y31" s="25">
        <v>260</v>
      </c>
      <c r="Z31" s="15">
        <f t="shared" si="3"/>
        <v>11627.199999999999</v>
      </c>
      <c r="AA31" s="15">
        <f t="shared" si="4"/>
        <v>42483.999999999993</v>
      </c>
    </row>
    <row r="32" spans="1:27" s="27" customFormat="1">
      <c r="A32" s="32">
        <v>29</v>
      </c>
      <c r="B32" s="13">
        <v>45934</v>
      </c>
      <c r="C32" s="13">
        <v>45934</v>
      </c>
      <c r="D32" s="54">
        <v>251004010</v>
      </c>
      <c r="E32" s="14" t="s">
        <v>123</v>
      </c>
      <c r="F32" s="14" t="s">
        <v>124</v>
      </c>
      <c r="G32" s="14">
        <v>25</v>
      </c>
      <c r="H32" s="57">
        <v>115</v>
      </c>
      <c r="I32" s="36" t="s">
        <v>46</v>
      </c>
      <c r="J32" s="42" t="s">
        <v>23</v>
      </c>
      <c r="K32" s="43" t="s">
        <v>38</v>
      </c>
      <c r="L32" s="14" t="s">
        <v>125</v>
      </c>
      <c r="M32" s="14" t="s">
        <v>55</v>
      </c>
      <c r="N32" s="44">
        <v>66.64</v>
      </c>
      <c r="O32" s="44">
        <v>15.78</v>
      </c>
      <c r="P32" s="18">
        <f t="shared" si="0"/>
        <v>50.86</v>
      </c>
      <c r="Q32" s="14">
        <v>445</v>
      </c>
      <c r="R32" s="19">
        <f t="shared" si="1"/>
        <v>22632.7</v>
      </c>
      <c r="S32" s="14"/>
      <c r="T32" s="15"/>
      <c r="V32" s="15" t="s">
        <v>24</v>
      </c>
      <c r="W32" s="16">
        <v>145</v>
      </c>
      <c r="X32" s="37">
        <f t="shared" si="2"/>
        <v>7374.7</v>
      </c>
      <c r="Y32" s="25">
        <v>260</v>
      </c>
      <c r="Z32" s="15">
        <f t="shared" si="3"/>
        <v>13223.6</v>
      </c>
      <c r="AA32" s="15">
        <f t="shared" si="4"/>
        <v>43231</v>
      </c>
    </row>
    <row r="33" spans="1:38" s="27" customFormat="1">
      <c r="A33" s="32">
        <v>30</v>
      </c>
      <c r="B33" s="13">
        <v>45934</v>
      </c>
      <c r="C33" s="13">
        <v>45934</v>
      </c>
      <c r="D33" s="54">
        <v>251004011</v>
      </c>
      <c r="E33" s="14" t="s">
        <v>126</v>
      </c>
      <c r="F33" s="14" t="s">
        <v>127</v>
      </c>
      <c r="G33" s="14">
        <v>25</v>
      </c>
      <c r="H33" s="57">
        <v>115</v>
      </c>
      <c r="I33" s="36" t="s">
        <v>46</v>
      </c>
      <c r="J33" s="42" t="s">
        <v>23</v>
      </c>
      <c r="K33" s="43" t="s">
        <v>38</v>
      </c>
      <c r="L33" s="14" t="s">
        <v>64</v>
      </c>
      <c r="M33" s="14" t="s">
        <v>48</v>
      </c>
      <c r="N33" s="44">
        <v>62.84</v>
      </c>
      <c r="O33" s="44">
        <v>16.399999999999999</v>
      </c>
      <c r="P33" s="18">
        <f t="shared" si="0"/>
        <v>46.440000000000005</v>
      </c>
      <c r="Q33" s="14">
        <v>545</v>
      </c>
      <c r="R33" s="19">
        <f t="shared" si="1"/>
        <v>25309.800000000003</v>
      </c>
      <c r="S33" s="14"/>
      <c r="T33" s="15"/>
      <c r="V33" s="15" t="s">
        <v>24</v>
      </c>
      <c r="W33" s="16">
        <v>145</v>
      </c>
      <c r="X33" s="37">
        <f t="shared" si="2"/>
        <v>6733.8000000000011</v>
      </c>
      <c r="Y33" s="25">
        <v>260</v>
      </c>
      <c r="Z33" s="15">
        <f t="shared" si="3"/>
        <v>12074.400000000001</v>
      </c>
      <c r="AA33" s="45">
        <f t="shared" si="4"/>
        <v>44118.000000000007</v>
      </c>
    </row>
    <row r="34" spans="1:38" s="27" customFormat="1" ht="17.100000000000001" customHeight="1">
      <c r="A34" s="32">
        <v>31</v>
      </c>
      <c r="B34" s="13">
        <v>45934</v>
      </c>
      <c r="C34" s="13">
        <v>45934</v>
      </c>
      <c r="D34" s="54">
        <v>251004012</v>
      </c>
      <c r="E34" s="14" t="s">
        <v>128</v>
      </c>
      <c r="F34" s="14" t="s">
        <v>129</v>
      </c>
      <c r="G34" s="14">
        <v>25</v>
      </c>
      <c r="H34" s="57">
        <v>115</v>
      </c>
      <c r="I34" s="36" t="s">
        <v>46</v>
      </c>
      <c r="J34" s="42" t="s">
        <v>23</v>
      </c>
      <c r="K34" s="43" t="s">
        <v>38</v>
      </c>
      <c r="L34" s="14" t="s">
        <v>82</v>
      </c>
      <c r="M34" s="14" t="s">
        <v>48</v>
      </c>
      <c r="N34" s="44">
        <v>61.16</v>
      </c>
      <c r="O34" s="44">
        <v>15.16</v>
      </c>
      <c r="P34" s="14">
        <f t="shared" si="0"/>
        <v>46</v>
      </c>
      <c r="Q34" s="14">
        <v>545</v>
      </c>
      <c r="R34" s="19">
        <f t="shared" si="1"/>
        <v>25070</v>
      </c>
      <c r="S34" s="46"/>
      <c r="T34" s="47"/>
      <c r="V34" s="15" t="s">
        <v>24</v>
      </c>
      <c r="W34" s="16">
        <v>145</v>
      </c>
      <c r="X34" s="37">
        <f t="shared" si="2"/>
        <v>6670</v>
      </c>
      <c r="Y34" s="25">
        <v>260</v>
      </c>
      <c r="Z34" s="15">
        <f t="shared" si="3"/>
        <v>11960</v>
      </c>
      <c r="AA34" s="15">
        <f t="shared" si="4"/>
        <v>43700</v>
      </c>
      <c r="AB34" s="59"/>
      <c r="AC34" s="48"/>
      <c r="AD34" s="50"/>
      <c r="AE34" s="51"/>
      <c r="AF34" s="48"/>
      <c r="AG34" s="51"/>
      <c r="AH34" s="48"/>
      <c r="AI34" s="50"/>
      <c r="AJ34" s="48"/>
      <c r="AK34" s="50"/>
      <c r="AL34" s="50"/>
    </row>
    <row r="35" spans="1:38" s="27" customFormat="1">
      <c r="A35" s="32">
        <v>32</v>
      </c>
      <c r="B35" s="13">
        <v>45934</v>
      </c>
      <c r="C35" s="13">
        <v>45934</v>
      </c>
      <c r="D35" s="54">
        <v>251004013</v>
      </c>
      <c r="E35" s="14" t="s">
        <v>130</v>
      </c>
      <c r="F35" s="14" t="s">
        <v>131</v>
      </c>
      <c r="G35" s="14">
        <v>25</v>
      </c>
      <c r="H35" s="57">
        <v>115</v>
      </c>
      <c r="I35" s="36" t="s">
        <v>46</v>
      </c>
      <c r="J35" s="42" t="s">
        <v>23</v>
      </c>
      <c r="K35" s="43" t="s">
        <v>38</v>
      </c>
      <c r="L35" s="14" t="s">
        <v>47</v>
      </c>
      <c r="M35" s="14" t="s">
        <v>55</v>
      </c>
      <c r="N35" s="44">
        <v>67.36</v>
      </c>
      <c r="O35" s="44">
        <v>15.92</v>
      </c>
      <c r="P35" s="18">
        <f t="shared" si="0"/>
        <v>51.44</v>
      </c>
      <c r="Q35" s="14">
        <v>445</v>
      </c>
      <c r="R35" s="19">
        <f t="shared" si="1"/>
        <v>22890.799999999999</v>
      </c>
      <c r="S35" s="15"/>
      <c r="T35" s="15"/>
      <c r="V35" s="15" t="s">
        <v>24</v>
      </c>
      <c r="W35" s="16">
        <v>145</v>
      </c>
      <c r="X35" s="37">
        <f t="shared" si="2"/>
        <v>7458.7999999999993</v>
      </c>
      <c r="Y35" s="25">
        <v>260</v>
      </c>
      <c r="Z35" s="15">
        <f t="shared" si="3"/>
        <v>13374.4</v>
      </c>
      <c r="AA35" s="15">
        <f t="shared" si="4"/>
        <v>43724</v>
      </c>
    </row>
    <row r="36" spans="1:38" s="27" customFormat="1">
      <c r="A36" s="32">
        <v>33</v>
      </c>
      <c r="B36" s="13">
        <v>45934</v>
      </c>
      <c r="C36" s="13">
        <v>45934</v>
      </c>
      <c r="D36" s="54">
        <v>251004014</v>
      </c>
      <c r="E36" s="14" t="s">
        <v>132</v>
      </c>
      <c r="F36" s="14" t="s">
        <v>133</v>
      </c>
      <c r="G36" s="14">
        <v>25</v>
      </c>
      <c r="H36" s="57">
        <v>115</v>
      </c>
      <c r="I36" s="36" t="s">
        <v>46</v>
      </c>
      <c r="J36" s="42" t="s">
        <v>23</v>
      </c>
      <c r="K36" s="43" t="s">
        <v>38</v>
      </c>
      <c r="L36" s="14" t="s">
        <v>134</v>
      </c>
      <c r="M36" s="14" t="s">
        <v>55</v>
      </c>
      <c r="N36" s="14">
        <v>62.86</v>
      </c>
      <c r="O36" s="44">
        <v>15.44</v>
      </c>
      <c r="P36" s="18">
        <f t="shared" si="0"/>
        <v>47.42</v>
      </c>
      <c r="Q36" s="14">
        <v>445</v>
      </c>
      <c r="R36" s="19">
        <f t="shared" si="1"/>
        <v>21101.9</v>
      </c>
      <c r="S36" s="15"/>
      <c r="T36" s="15"/>
      <c r="V36" s="15" t="s">
        <v>24</v>
      </c>
      <c r="W36" s="16">
        <v>145</v>
      </c>
      <c r="X36" s="37">
        <f t="shared" si="2"/>
        <v>6875.9000000000005</v>
      </c>
      <c r="Y36" s="25">
        <v>260</v>
      </c>
      <c r="Z36" s="15">
        <f t="shared" si="3"/>
        <v>12329.2</v>
      </c>
      <c r="AA36" s="15">
        <f t="shared" si="4"/>
        <v>40307</v>
      </c>
    </row>
    <row r="37" spans="1:38" s="27" customFormat="1">
      <c r="A37" s="32">
        <v>34</v>
      </c>
      <c r="B37" s="13">
        <v>45934</v>
      </c>
      <c r="C37" s="13">
        <v>45934</v>
      </c>
      <c r="D37" s="54">
        <v>251004015</v>
      </c>
      <c r="E37" s="14" t="s">
        <v>135</v>
      </c>
      <c r="F37" s="14" t="s">
        <v>136</v>
      </c>
      <c r="G37" s="14">
        <v>25</v>
      </c>
      <c r="H37" s="57">
        <v>117</v>
      </c>
      <c r="I37" s="58" t="s">
        <v>106</v>
      </c>
      <c r="J37" s="42" t="s">
        <v>23</v>
      </c>
      <c r="K37" s="36" t="s">
        <v>38</v>
      </c>
      <c r="L37" s="14" t="s">
        <v>137</v>
      </c>
      <c r="M37" s="14" t="s">
        <v>48</v>
      </c>
      <c r="N37" s="14">
        <v>59.42</v>
      </c>
      <c r="O37" s="14">
        <v>15.76</v>
      </c>
      <c r="P37" s="18">
        <f t="shared" si="0"/>
        <v>43.660000000000004</v>
      </c>
      <c r="Q37" s="14">
        <v>555</v>
      </c>
      <c r="R37" s="19">
        <f t="shared" si="1"/>
        <v>24231.300000000003</v>
      </c>
      <c r="S37" s="14"/>
      <c r="T37" s="15"/>
      <c r="V37" s="15" t="s">
        <v>24</v>
      </c>
      <c r="W37" s="16">
        <v>145</v>
      </c>
      <c r="X37" s="37">
        <f t="shared" si="2"/>
        <v>6330.7000000000007</v>
      </c>
      <c r="Y37" s="25">
        <v>230</v>
      </c>
      <c r="Z37" s="15">
        <f t="shared" si="3"/>
        <v>10041.800000000001</v>
      </c>
      <c r="AA37" s="15">
        <f t="shared" si="4"/>
        <v>40603.800000000003</v>
      </c>
    </row>
    <row r="38" spans="1:38" s="40" customFormat="1">
      <c r="A38" s="32">
        <v>35</v>
      </c>
      <c r="B38" s="13">
        <v>45934</v>
      </c>
      <c r="C38" s="13">
        <v>45934</v>
      </c>
      <c r="D38" s="54">
        <v>251004016</v>
      </c>
      <c r="E38" s="14" t="s">
        <v>138</v>
      </c>
      <c r="F38" s="14" t="s">
        <v>139</v>
      </c>
      <c r="G38" s="14">
        <v>25</v>
      </c>
      <c r="H38" s="57">
        <v>115</v>
      </c>
      <c r="I38" s="36" t="s">
        <v>46</v>
      </c>
      <c r="J38" s="42" t="s">
        <v>23</v>
      </c>
      <c r="K38" s="43" t="s">
        <v>38</v>
      </c>
      <c r="L38" s="14" t="s">
        <v>51</v>
      </c>
      <c r="M38" s="14" t="s">
        <v>55</v>
      </c>
      <c r="N38" s="14">
        <v>62</v>
      </c>
      <c r="O38" s="44">
        <v>15.3</v>
      </c>
      <c r="P38" s="18">
        <f t="shared" si="0"/>
        <v>46.7</v>
      </c>
      <c r="Q38" s="14">
        <v>445</v>
      </c>
      <c r="R38" s="19">
        <f t="shared" si="1"/>
        <v>20781.5</v>
      </c>
      <c r="S38" s="14"/>
      <c r="T38" s="15"/>
      <c r="V38" s="15" t="s">
        <v>24</v>
      </c>
      <c r="W38" s="16">
        <v>145</v>
      </c>
      <c r="X38" s="37">
        <f t="shared" si="2"/>
        <v>6771.5</v>
      </c>
      <c r="Y38" s="25">
        <v>260</v>
      </c>
      <c r="Z38" s="15">
        <f t="shared" si="3"/>
        <v>12142</v>
      </c>
      <c r="AA38" s="15">
        <f t="shared" si="4"/>
        <v>39695</v>
      </c>
    </row>
    <row r="39" spans="1:38" s="27" customFormat="1">
      <c r="A39" s="32">
        <v>36</v>
      </c>
      <c r="B39" s="13">
        <v>45934</v>
      </c>
      <c r="C39" s="13">
        <v>45934</v>
      </c>
      <c r="D39" s="54">
        <v>251004017</v>
      </c>
      <c r="E39" s="14" t="s">
        <v>140</v>
      </c>
      <c r="F39" s="14" t="s">
        <v>141</v>
      </c>
      <c r="G39" s="14">
        <v>25</v>
      </c>
      <c r="H39" s="57">
        <v>115</v>
      </c>
      <c r="I39" s="36" t="s">
        <v>46</v>
      </c>
      <c r="J39" s="42" t="s">
        <v>23</v>
      </c>
      <c r="K39" s="43" t="s">
        <v>38</v>
      </c>
      <c r="L39" s="56" t="s">
        <v>142</v>
      </c>
      <c r="M39" s="14" t="s">
        <v>55</v>
      </c>
      <c r="N39" s="14">
        <v>49.92</v>
      </c>
      <c r="O39" s="14">
        <v>11.76</v>
      </c>
      <c r="P39" s="38">
        <f t="shared" si="0"/>
        <v>38.160000000000004</v>
      </c>
      <c r="Q39" s="14">
        <v>445</v>
      </c>
      <c r="R39" s="19">
        <f t="shared" si="1"/>
        <v>16981.2</v>
      </c>
      <c r="S39" s="16"/>
      <c r="T39" s="25"/>
      <c r="V39" s="15" t="s">
        <v>24</v>
      </c>
      <c r="W39" s="16">
        <v>145</v>
      </c>
      <c r="X39" s="37">
        <f t="shared" si="2"/>
        <v>5533.2000000000007</v>
      </c>
      <c r="Y39" s="25">
        <v>260</v>
      </c>
      <c r="Z39" s="25">
        <f t="shared" si="3"/>
        <v>9921.6</v>
      </c>
      <c r="AA39" s="25">
        <f t="shared" si="4"/>
        <v>32436</v>
      </c>
    </row>
    <row r="40" spans="1:38" s="27" customFormat="1">
      <c r="A40" s="32">
        <v>37</v>
      </c>
      <c r="B40" s="13">
        <v>45934</v>
      </c>
      <c r="C40" s="13">
        <v>45934</v>
      </c>
      <c r="D40" s="54">
        <v>251004018</v>
      </c>
      <c r="E40" s="14" t="s">
        <v>143</v>
      </c>
      <c r="F40" s="14" t="s">
        <v>144</v>
      </c>
      <c r="G40" s="14">
        <v>25</v>
      </c>
      <c r="H40" s="57">
        <v>115</v>
      </c>
      <c r="I40" s="36" t="s">
        <v>46</v>
      </c>
      <c r="J40" s="42" t="s">
        <v>23</v>
      </c>
      <c r="K40" s="43" t="s">
        <v>38</v>
      </c>
      <c r="L40" s="56" t="s">
        <v>67</v>
      </c>
      <c r="M40" s="14" t="s">
        <v>55</v>
      </c>
      <c r="N40" s="14">
        <v>63.78</v>
      </c>
      <c r="O40" s="44">
        <v>16.16</v>
      </c>
      <c r="P40" s="18">
        <f t="shared" si="0"/>
        <v>47.620000000000005</v>
      </c>
      <c r="Q40" s="14">
        <v>445</v>
      </c>
      <c r="R40" s="19">
        <f t="shared" si="1"/>
        <v>21190.9</v>
      </c>
      <c r="S40" s="14"/>
      <c r="T40" s="15"/>
      <c r="V40" s="15" t="s">
        <v>24</v>
      </c>
      <c r="W40" s="16">
        <v>145</v>
      </c>
      <c r="X40" s="37">
        <f t="shared" si="2"/>
        <v>6904.9000000000005</v>
      </c>
      <c r="Y40" s="25">
        <v>260</v>
      </c>
      <c r="Z40" s="15">
        <f t="shared" si="3"/>
        <v>12381.2</v>
      </c>
      <c r="AA40" s="15">
        <f t="shared" si="4"/>
        <v>40477</v>
      </c>
    </row>
    <row r="41" spans="1:38" s="40" customFormat="1">
      <c r="A41" s="32">
        <v>38</v>
      </c>
      <c r="B41" s="13">
        <v>45934</v>
      </c>
      <c r="C41" s="13">
        <v>45934</v>
      </c>
      <c r="D41" s="54">
        <v>251004019</v>
      </c>
      <c r="E41" s="14" t="s">
        <v>145</v>
      </c>
      <c r="F41" s="14" t="s">
        <v>146</v>
      </c>
      <c r="G41" s="14">
        <v>25</v>
      </c>
      <c r="H41" s="57">
        <v>115</v>
      </c>
      <c r="I41" s="36" t="s">
        <v>46</v>
      </c>
      <c r="J41" s="42" t="s">
        <v>23</v>
      </c>
      <c r="K41" s="43" t="s">
        <v>38</v>
      </c>
      <c r="L41" s="56" t="s">
        <v>54</v>
      </c>
      <c r="M41" s="14" t="s">
        <v>55</v>
      </c>
      <c r="N41" s="14">
        <v>66.98</v>
      </c>
      <c r="O41" s="44">
        <v>16.86</v>
      </c>
      <c r="P41" s="18">
        <f t="shared" si="0"/>
        <v>50.120000000000005</v>
      </c>
      <c r="Q41" s="14">
        <v>445</v>
      </c>
      <c r="R41" s="19">
        <f t="shared" si="1"/>
        <v>22303.4</v>
      </c>
      <c r="S41" s="14"/>
      <c r="T41" s="15"/>
      <c r="V41" s="15" t="s">
        <v>24</v>
      </c>
      <c r="W41" s="16">
        <v>145</v>
      </c>
      <c r="X41" s="37">
        <f t="shared" si="2"/>
        <v>7267.4000000000005</v>
      </c>
      <c r="Y41" s="25">
        <v>260</v>
      </c>
      <c r="Z41" s="15">
        <f t="shared" si="3"/>
        <v>13031.2</v>
      </c>
      <c r="AA41" s="15">
        <f t="shared" si="4"/>
        <v>42602</v>
      </c>
    </row>
    <row r="42" spans="1:38" s="27" customFormat="1">
      <c r="A42" s="32">
        <v>39</v>
      </c>
      <c r="B42" s="13">
        <v>45934</v>
      </c>
      <c r="C42" s="13">
        <v>45934</v>
      </c>
      <c r="D42" s="54">
        <v>251004020</v>
      </c>
      <c r="E42" s="14" t="s">
        <v>147</v>
      </c>
      <c r="F42" s="14" t="s">
        <v>148</v>
      </c>
      <c r="G42" s="14">
        <v>25</v>
      </c>
      <c r="H42" s="57">
        <v>117</v>
      </c>
      <c r="I42" s="58" t="s">
        <v>106</v>
      </c>
      <c r="J42" s="42" t="s">
        <v>23</v>
      </c>
      <c r="K42" s="36" t="s">
        <v>38</v>
      </c>
      <c r="L42" s="14" t="s">
        <v>149</v>
      </c>
      <c r="M42" s="14" t="s">
        <v>40</v>
      </c>
      <c r="N42" s="14">
        <v>46.14</v>
      </c>
      <c r="O42" s="44">
        <v>12.4</v>
      </c>
      <c r="P42" s="18">
        <f t="shared" si="0"/>
        <v>33.74</v>
      </c>
      <c r="Q42" s="14">
        <v>335</v>
      </c>
      <c r="R42" s="19">
        <f t="shared" si="1"/>
        <v>11302.900000000001</v>
      </c>
      <c r="S42" s="14"/>
      <c r="T42" s="15"/>
      <c r="V42" s="15" t="s">
        <v>24</v>
      </c>
      <c r="W42" s="16">
        <v>145</v>
      </c>
      <c r="X42" s="37">
        <f t="shared" si="2"/>
        <v>4892.3</v>
      </c>
      <c r="Y42" s="25">
        <v>230</v>
      </c>
      <c r="Z42" s="15">
        <f t="shared" si="3"/>
        <v>7760.2000000000007</v>
      </c>
      <c r="AA42" s="15">
        <f t="shared" si="4"/>
        <v>23955.4</v>
      </c>
    </row>
    <row r="43" spans="1:38" s="27" customFormat="1">
      <c r="A43" s="32">
        <v>40</v>
      </c>
      <c r="B43" s="13">
        <v>45934</v>
      </c>
      <c r="C43" s="13">
        <v>45934</v>
      </c>
      <c r="D43" s="54">
        <v>251004021</v>
      </c>
      <c r="E43" s="14" t="s">
        <v>150</v>
      </c>
      <c r="F43" s="14" t="s">
        <v>151</v>
      </c>
      <c r="G43" s="14">
        <v>25</v>
      </c>
      <c r="H43" s="55">
        <v>24</v>
      </c>
      <c r="I43" s="36" t="s">
        <v>37</v>
      </c>
      <c r="J43" s="35" t="s">
        <v>23</v>
      </c>
      <c r="K43" s="36" t="s">
        <v>38</v>
      </c>
      <c r="L43" s="14" t="s">
        <v>152</v>
      </c>
      <c r="M43" s="14" t="s">
        <v>55</v>
      </c>
      <c r="N43" s="44">
        <v>49.06</v>
      </c>
      <c r="O43" s="44">
        <v>11.9</v>
      </c>
      <c r="P43" s="18">
        <f t="shared" si="0"/>
        <v>37.160000000000004</v>
      </c>
      <c r="Q43" s="14">
        <v>445</v>
      </c>
      <c r="R43" s="19">
        <f t="shared" si="1"/>
        <v>16536.2</v>
      </c>
      <c r="S43" s="14"/>
      <c r="T43" s="15"/>
      <c r="V43" s="15" t="s">
        <v>24</v>
      </c>
      <c r="W43" s="16">
        <v>145</v>
      </c>
      <c r="X43" s="37">
        <f t="shared" si="2"/>
        <v>5388.2000000000007</v>
      </c>
      <c r="Y43" s="25">
        <v>260</v>
      </c>
      <c r="Z43" s="15">
        <f t="shared" si="3"/>
        <v>9661.6</v>
      </c>
      <c r="AA43" s="15">
        <f t="shared" si="4"/>
        <v>31586</v>
      </c>
    </row>
    <row r="44" spans="1:38" s="27" customFormat="1">
      <c r="A44" s="32">
        <v>41</v>
      </c>
      <c r="B44" s="13">
        <v>45934</v>
      </c>
      <c r="C44" s="13">
        <v>45934</v>
      </c>
      <c r="D44" s="54">
        <v>251004022</v>
      </c>
      <c r="E44" s="14" t="s">
        <v>153</v>
      </c>
      <c r="F44" s="14" t="s">
        <v>154</v>
      </c>
      <c r="G44" s="14">
        <v>22</v>
      </c>
      <c r="H44" s="55">
        <v>18</v>
      </c>
      <c r="I44" s="36" t="s">
        <v>155</v>
      </c>
      <c r="J44" s="35" t="s">
        <v>23</v>
      </c>
      <c r="K44" s="36" t="s">
        <v>38</v>
      </c>
      <c r="L44" s="56" t="s">
        <v>156</v>
      </c>
      <c r="M44" s="14" t="s">
        <v>40</v>
      </c>
      <c r="N44" s="14">
        <v>36.86</v>
      </c>
      <c r="O44" s="44">
        <v>14.46</v>
      </c>
      <c r="P44" s="18">
        <f t="shared" si="0"/>
        <v>22.4</v>
      </c>
      <c r="Q44" s="14">
        <v>420</v>
      </c>
      <c r="R44" s="19">
        <f t="shared" si="1"/>
        <v>9408</v>
      </c>
      <c r="S44" s="14"/>
      <c r="T44" s="15"/>
      <c r="V44" s="15" t="s">
        <v>24</v>
      </c>
      <c r="W44" s="16">
        <v>145</v>
      </c>
      <c r="X44" s="37">
        <f t="shared" si="2"/>
        <v>3248</v>
      </c>
      <c r="Y44" s="25"/>
      <c r="Z44" s="15">
        <f t="shared" si="3"/>
        <v>0</v>
      </c>
      <c r="AA44" s="15">
        <f t="shared" si="4"/>
        <v>12656</v>
      </c>
    </row>
    <row r="45" spans="1:38" s="27" customFormat="1">
      <c r="A45" s="32">
        <v>42</v>
      </c>
      <c r="B45" s="13">
        <v>45934</v>
      </c>
      <c r="C45" s="13">
        <v>45934</v>
      </c>
      <c r="D45" s="54">
        <v>251004023</v>
      </c>
      <c r="E45" s="14" t="s">
        <v>157</v>
      </c>
      <c r="F45" s="14" t="s">
        <v>158</v>
      </c>
      <c r="G45" s="14">
        <v>22</v>
      </c>
      <c r="H45" s="55">
        <v>18</v>
      </c>
      <c r="I45" s="36" t="s">
        <v>155</v>
      </c>
      <c r="J45" s="35" t="s">
        <v>23</v>
      </c>
      <c r="K45" s="36" t="s">
        <v>38</v>
      </c>
      <c r="L45" s="14" t="s">
        <v>159</v>
      </c>
      <c r="M45" s="14" t="s">
        <v>48</v>
      </c>
      <c r="N45" s="44">
        <v>36.76</v>
      </c>
      <c r="O45" s="14">
        <v>14.38</v>
      </c>
      <c r="P45" s="18">
        <f t="shared" si="0"/>
        <v>22.379999999999995</v>
      </c>
      <c r="Q45" s="14">
        <v>620</v>
      </c>
      <c r="R45" s="19">
        <f t="shared" si="1"/>
        <v>13875.599999999997</v>
      </c>
      <c r="S45" s="14"/>
      <c r="T45" s="15"/>
      <c r="V45" s="15" t="s">
        <v>24</v>
      </c>
      <c r="W45" s="16">
        <v>145</v>
      </c>
      <c r="X45" s="37">
        <f t="shared" si="2"/>
        <v>3245.0999999999995</v>
      </c>
      <c r="Y45" s="25"/>
      <c r="Z45" s="15">
        <f t="shared" si="3"/>
        <v>0</v>
      </c>
      <c r="AA45" s="15">
        <f t="shared" si="4"/>
        <v>17120.699999999997</v>
      </c>
    </row>
    <row r="46" spans="1:38" s="27" customFormat="1">
      <c r="A46" s="32">
        <v>43</v>
      </c>
      <c r="B46" s="13">
        <v>45934</v>
      </c>
      <c r="C46" s="13">
        <v>45934</v>
      </c>
      <c r="D46" s="54">
        <v>251004024</v>
      </c>
      <c r="E46" s="14" t="s">
        <v>160</v>
      </c>
      <c r="F46" s="14" t="s">
        <v>161</v>
      </c>
      <c r="G46" s="14">
        <v>22</v>
      </c>
      <c r="H46" s="55">
        <v>18</v>
      </c>
      <c r="I46" s="36" t="s">
        <v>155</v>
      </c>
      <c r="J46" s="35" t="s">
        <v>23</v>
      </c>
      <c r="K46" s="36" t="s">
        <v>38</v>
      </c>
      <c r="L46" s="14" t="s">
        <v>162</v>
      </c>
      <c r="M46" s="14" t="s">
        <v>40</v>
      </c>
      <c r="N46" s="14">
        <v>37.04</v>
      </c>
      <c r="O46" s="44">
        <v>14.22</v>
      </c>
      <c r="P46" s="18">
        <f t="shared" si="0"/>
        <v>22.82</v>
      </c>
      <c r="Q46" s="14">
        <v>420</v>
      </c>
      <c r="R46" s="19">
        <f t="shared" si="1"/>
        <v>9584.4</v>
      </c>
      <c r="S46" s="14"/>
      <c r="T46" s="15"/>
      <c r="V46" s="15" t="s">
        <v>24</v>
      </c>
      <c r="W46" s="16">
        <v>145</v>
      </c>
      <c r="X46" s="37">
        <f t="shared" si="2"/>
        <v>3308.9</v>
      </c>
      <c r="Y46" s="25"/>
      <c r="Z46" s="15">
        <f t="shared" si="3"/>
        <v>0</v>
      </c>
      <c r="AA46" s="15">
        <f t="shared" si="4"/>
        <v>12893.3</v>
      </c>
    </row>
    <row r="47" spans="1:38" s="27" customFormat="1">
      <c r="A47" s="32">
        <v>44</v>
      </c>
      <c r="B47" s="13">
        <v>45934</v>
      </c>
      <c r="C47" s="13">
        <v>45934</v>
      </c>
      <c r="D47" s="54">
        <v>251004025</v>
      </c>
      <c r="E47" s="14" t="s">
        <v>163</v>
      </c>
      <c r="F47" s="14" t="s">
        <v>164</v>
      </c>
      <c r="G47" s="14">
        <v>25</v>
      </c>
      <c r="H47" s="55">
        <v>24</v>
      </c>
      <c r="I47" s="36" t="s">
        <v>37</v>
      </c>
      <c r="J47" s="35" t="s">
        <v>23</v>
      </c>
      <c r="K47" s="36" t="s">
        <v>38</v>
      </c>
      <c r="L47" s="14" t="s">
        <v>165</v>
      </c>
      <c r="M47" s="14" t="s">
        <v>55</v>
      </c>
      <c r="N47" s="44">
        <v>49.86</v>
      </c>
      <c r="O47" s="44">
        <v>11.9</v>
      </c>
      <c r="P47" s="18">
        <f t="shared" si="0"/>
        <v>37.96</v>
      </c>
      <c r="Q47" s="14">
        <v>445</v>
      </c>
      <c r="R47" s="19">
        <f t="shared" si="1"/>
        <v>16892.2</v>
      </c>
      <c r="S47" s="14"/>
      <c r="T47" s="15"/>
      <c r="V47" s="15" t="s">
        <v>24</v>
      </c>
      <c r="W47" s="16">
        <v>145</v>
      </c>
      <c r="X47" s="37">
        <f t="shared" si="2"/>
        <v>5504.2</v>
      </c>
      <c r="Y47" s="25">
        <v>260</v>
      </c>
      <c r="Z47" s="15">
        <f t="shared" si="3"/>
        <v>9869.6</v>
      </c>
      <c r="AA47" s="15">
        <f t="shared" si="4"/>
        <v>32266</v>
      </c>
    </row>
    <row r="48" spans="1:38" s="40" customFormat="1">
      <c r="A48" s="32">
        <v>45</v>
      </c>
      <c r="B48" s="13">
        <v>45934</v>
      </c>
      <c r="C48" s="13">
        <v>45934</v>
      </c>
      <c r="D48" s="54">
        <v>251004026</v>
      </c>
      <c r="E48" s="14" t="s">
        <v>166</v>
      </c>
      <c r="F48" s="14" t="s">
        <v>167</v>
      </c>
      <c r="G48" s="14">
        <v>25</v>
      </c>
      <c r="H48" s="55">
        <v>24</v>
      </c>
      <c r="I48" s="36" t="s">
        <v>37</v>
      </c>
      <c r="J48" s="35" t="s">
        <v>23</v>
      </c>
      <c r="K48" s="36" t="s">
        <v>38</v>
      </c>
      <c r="L48" s="14" t="s">
        <v>92</v>
      </c>
      <c r="M48" s="14" t="s">
        <v>55</v>
      </c>
      <c r="N48" s="14">
        <v>64.7</v>
      </c>
      <c r="O48" s="14">
        <v>15.82</v>
      </c>
      <c r="P48" s="18">
        <f t="shared" si="0"/>
        <v>48.88</v>
      </c>
      <c r="Q48" s="14">
        <v>445</v>
      </c>
      <c r="R48" s="19">
        <f t="shared" si="1"/>
        <v>21751.600000000002</v>
      </c>
      <c r="S48" s="14"/>
      <c r="T48" s="15"/>
      <c r="V48" s="15" t="s">
        <v>24</v>
      </c>
      <c r="W48" s="16">
        <v>145</v>
      </c>
      <c r="X48" s="37">
        <f t="shared" si="2"/>
        <v>7087.6</v>
      </c>
      <c r="Y48" s="25">
        <v>260</v>
      </c>
      <c r="Z48" s="15">
        <f t="shared" si="3"/>
        <v>12708.800000000001</v>
      </c>
      <c r="AA48" s="15">
        <f t="shared" si="4"/>
        <v>41548.000000000007</v>
      </c>
    </row>
    <row r="49" spans="1:27" s="40" customFormat="1">
      <c r="A49" s="32">
        <v>46</v>
      </c>
      <c r="B49" s="13">
        <v>45934</v>
      </c>
      <c r="C49" s="13">
        <v>45934</v>
      </c>
      <c r="D49" s="54">
        <v>251004027</v>
      </c>
      <c r="E49" s="14" t="s">
        <v>168</v>
      </c>
      <c r="F49" s="14" t="s">
        <v>169</v>
      </c>
      <c r="G49" s="14">
        <v>25</v>
      </c>
      <c r="H49" s="55">
        <v>24</v>
      </c>
      <c r="I49" s="36" t="s">
        <v>37</v>
      </c>
      <c r="J49" s="35" t="s">
        <v>23</v>
      </c>
      <c r="K49" s="36" t="s">
        <v>38</v>
      </c>
      <c r="L49" s="14" t="s">
        <v>98</v>
      </c>
      <c r="M49" s="14" t="s">
        <v>55</v>
      </c>
      <c r="N49" s="14">
        <v>49.5</v>
      </c>
      <c r="O49" s="14">
        <v>11.82</v>
      </c>
      <c r="P49" s="18">
        <f t="shared" si="0"/>
        <v>37.68</v>
      </c>
      <c r="Q49" s="14">
        <v>445</v>
      </c>
      <c r="R49" s="19">
        <f t="shared" si="1"/>
        <v>16767.599999999999</v>
      </c>
      <c r="S49" s="14"/>
      <c r="T49" s="15"/>
      <c r="V49" s="15" t="s">
        <v>24</v>
      </c>
      <c r="W49" s="16">
        <v>145</v>
      </c>
      <c r="X49" s="37">
        <f t="shared" si="2"/>
        <v>5463.6</v>
      </c>
      <c r="Y49" s="25">
        <v>260</v>
      </c>
      <c r="Z49" s="15">
        <f t="shared" si="3"/>
        <v>9796.7999999999993</v>
      </c>
      <c r="AA49" s="15">
        <f t="shared" si="4"/>
        <v>32027.999999999996</v>
      </c>
    </row>
    <row r="50" spans="1:27" s="27" customFormat="1">
      <c r="A50" s="32">
        <v>47</v>
      </c>
      <c r="B50" s="13">
        <v>45934</v>
      </c>
      <c r="C50" s="13">
        <v>45934</v>
      </c>
      <c r="D50" s="54">
        <v>251004028</v>
      </c>
      <c r="E50" s="14" t="s">
        <v>170</v>
      </c>
      <c r="F50" s="14" t="s">
        <v>171</v>
      </c>
      <c r="G50" s="14">
        <v>25</v>
      </c>
      <c r="H50" s="55">
        <v>24</v>
      </c>
      <c r="I50" s="36" t="s">
        <v>37</v>
      </c>
      <c r="J50" s="35" t="s">
        <v>23</v>
      </c>
      <c r="K50" s="36" t="s">
        <v>38</v>
      </c>
      <c r="L50" s="14" t="s">
        <v>172</v>
      </c>
      <c r="M50" s="14" t="s">
        <v>55</v>
      </c>
      <c r="N50" s="14">
        <v>76.48</v>
      </c>
      <c r="O50" s="14">
        <v>17.46</v>
      </c>
      <c r="P50" s="18">
        <f t="shared" si="0"/>
        <v>59.02</v>
      </c>
      <c r="Q50" s="14">
        <v>445</v>
      </c>
      <c r="R50" s="19">
        <f t="shared" si="1"/>
        <v>26263.9</v>
      </c>
      <c r="S50" s="14"/>
      <c r="T50" s="15"/>
      <c r="V50" s="15" t="s">
        <v>24</v>
      </c>
      <c r="W50" s="16">
        <v>145</v>
      </c>
      <c r="X50" s="37">
        <f t="shared" si="2"/>
        <v>8557.9</v>
      </c>
      <c r="Y50" s="25">
        <v>260</v>
      </c>
      <c r="Z50" s="15">
        <f t="shared" si="3"/>
        <v>15345.2</v>
      </c>
      <c r="AA50" s="15">
        <f t="shared" si="4"/>
        <v>50167</v>
      </c>
    </row>
    <row r="51" spans="1:27" s="27" customFormat="1">
      <c r="A51" s="32">
        <v>48</v>
      </c>
      <c r="B51" s="13">
        <v>45934</v>
      </c>
      <c r="C51" s="13">
        <v>45934</v>
      </c>
      <c r="D51" s="54">
        <v>251004029</v>
      </c>
      <c r="E51" s="14" t="s">
        <v>173</v>
      </c>
      <c r="F51" s="14" t="s">
        <v>174</v>
      </c>
      <c r="G51" s="14">
        <v>25</v>
      </c>
      <c r="H51" s="55">
        <v>24</v>
      </c>
      <c r="I51" s="36" t="s">
        <v>37</v>
      </c>
      <c r="J51" s="35" t="s">
        <v>23</v>
      </c>
      <c r="K51" s="36" t="s">
        <v>38</v>
      </c>
      <c r="L51" s="14" t="s">
        <v>89</v>
      </c>
      <c r="M51" s="14" t="s">
        <v>55</v>
      </c>
      <c r="N51" s="14">
        <v>49.12</v>
      </c>
      <c r="O51" s="14">
        <v>11.82</v>
      </c>
      <c r="P51" s="18">
        <f t="shared" si="0"/>
        <v>37.299999999999997</v>
      </c>
      <c r="Q51" s="14">
        <v>445</v>
      </c>
      <c r="R51" s="19">
        <f t="shared" si="1"/>
        <v>16598.5</v>
      </c>
      <c r="S51" s="14"/>
      <c r="T51" s="15"/>
      <c r="V51" s="15" t="s">
        <v>24</v>
      </c>
      <c r="W51" s="16">
        <v>145</v>
      </c>
      <c r="X51" s="37">
        <f t="shared" si="2"/>
        <v>5408.5</v>
      </c>
      <c r="Y51" s="25">
        <v>260</v>
      </c>
      <c r="Z51" s="15">
        <f t="shared" si="3"/>
        <v>9698</v>
      </c>
      <c r="AA51" s="15">
        <f t="shared" si="4"/>
        <v>31705</v>
      </c>
    </row>
    <row r="52" spans="1:27" s="27" customFormat="1">
      <c r="A52" s="32">
        <v>49</v>
      </c>
      <c r="B52" s="13">
        <v>45934</v>
      </c>
      <c r="C52" s="13">
        <v>45934</v>
      </c>
      <c r="D52" s="54">
        <v>251004030</v>
      </c>
      <c r="E52" s="14" t="s">
        <v>175</v>
      </c>
      <c r="F52" s="14" t="s">
        <v>176</v>
      </c>
      <c r="G52" s="14">
        <v>25</v>
      </c>
      <c r="H52" s="55">
        <v>24</v>
      </c>
      <c r="I52" s="36" t="s">
        <v>37</v>
      </c>
      <c r="J52" s="35" t="s">
        <v>23</v>
      </c>
      <c r="K52" s="36" t="s">
        <v>38</v>
      </c>
      <c r="L52" s="14" t="s">
        <v>61</v>
      </c>
      <c r="M52" s="14" t="s">
        <v>55</v>
      </c>
      <c r="N52" s="14">
        <v>61.14</v>
      </c>
      <c r="O52" s="44">
        <v>15.76</v>
      </c>
      <c r="P52" s="18">
        <f t="shared" si="0"/>
        <v>45.38</v>
      </c>
      <c r="Q52" s="14">
        <v>445</v>
      </c>
      <c r="R52" s="19">
        <f t="shared" si="1"/>
        <v>20194.100000000002</v>
      </c>
      <c r="S52" s="14"/>
      <c r="T52" s="15"/>
      <c r="V52" s="15" t="s">
        <v>24</v>
      </c>
      <c r="W52" s="16">
        <v>145</v>
      </c>
      <c r="X52" s="37">
        <f t="shared" si="2"/>
        <v>6580.1</v>
      </c>
      <c r="Y52" s="25">
        <v>260</v>
      </c>
      <c r="Z52" s="15">
        <f t="shared" si="3"/>
        <v>11798.800000000001</v>
      </c>
      <c r="AA52" s="15">
        <f t="shared" si="4"/>
        <v>38573.000000000007</v>
      </c>
    </row>
    <row r="53" spans="1:27" s="40" customFormat="1">
      <c r="A53" s="32">
        <v>50</v>
      </c>
      <c r="B53" s="13">
        <v>45934</v>
      </c>
      <c r="C53" s="13">
        <v>45934</v>
      </c>
      <c r="D53" s="54">
        <v>251004031</v>
      </c>
      <c r="E53" s="14" t="s">
        <v>177</v>
      </c>
      <c r="F53" s="14" t="s">
        <v>178</v>
      </c>
      <c r="G53" s="14">
        <v>25</v>
      </c>
      <c r="H53" s="55">
        <v>24</v>
      </c>
      <c r="I53" s="36" t="s">
        <v>37</v>
      </c>
      <c r="J53" s="35" t="s">
        <v>23</v>
      </c>
      <c r="K53" s="36" t="s">
        <v>38</v>
      </c>
      <c r="L53" s="14" t="s">
        <v>179</v>
      </c>
      <c r="M53" s="14" t="s">
        <v>55</v>
      </c>
      <c r="N53" s="44">
        <v>65.28</v>
      </c>
      <c r="O53" s="44">
        <v>15.38</v>
      </c>
      <c r="P53" s="18">
        <f t="shared" si="0"/>
        <v>49.9</v>
      </c>
      <c r="Q53" s="14">
        <v>445</v>
      </c>
      <c r="R53" s="19">
        <f t="shared" si="1"/>
        <v>22205.5</v>
      </c>
      <c r="S53" s="14"/>
      <c r="T53" s="15"/>
      <c r="V53" s="15" t="s">
        <v>24</v>
      </c>
      <c r="W53" s="16">
        <v>145</v>
      </c>
      <c r="X53" s="37">
        <f t="shared" si="2"/>
        <v>7235.5</v>
      </c>
      <c r="Y53" s="25">
        <v>260</v>
      </c>
      <c r="Z53" s="15">
        <f t="shared" si="3"/>
        <v>12974</v>
      </c>
      <c r="AA53" s="15">
        <f t="shared" si="4"/>
        <v>42415</v>
      </c>
    </row>
    <row r="54" spans="1:27" s="27" customFormat="1">
      <c r="A54" s="32">
        <v>51</v>
      </c>
      <c r="B54" s="13">
        <v>45934</v>
      </c>
      <c r="C54" s="13">
        <v>45934</v>
      </c>
      <c r="D54" s="54">
        <v>251004032</v>
      </c>
      <c r="E54" s="14" t="s">
        <v>180</v>
      </c>
      <c r="F54" s="14" t="s">
        <v>181</v>
      </c>
      <c r="G54" s="14">
        <v>25</v>
      </c>
      <c r="H54" s="55">
        <v>24</v>
      </c>
      <c r="I54" s="36" t="s">
        <v>37</v>
      </c>
      <c r="J54" s="35" t="s">
        <v>23</v>
      </c>
      <c r="K54" s="36" t="s">
        <v>38</v>
      </c>
      <c r="L54" s="14" t="s">
        <v>182</v>
      </c>
      <c r="M54" s="14" t="s">
        <v>55</v>
      </c>
      <c r="N54" s="44">
        <v>58.8</v>
      </c>
      <c r="O54" s="44">
        <v>15.2</v>
      </c>
      <c r="P54" s="18">
        <f t="shared" si="0"/>
        <v>43.599999999999994</v>
      </c>
      <c r="Q54" s="14">
        <v>445</v>
      </c>
      <c r="R54" s="19">
        <f t="shared" si="1"/>
        <v>19401.999999999996</v>
      </c>
      <c r="S54" s="14"/>
      <c r="T54" s="15"/>
      <c r="V54" s="15" t="s">
        <v>24</v>
      </c>
      <c r="W54" s="16">
        <v>145</v>
      </c>
      <c r="X54" s="37">
        <f t="shared" si="2"/>
        <v>6321.9999999999991</v>
      </c>
      <c r="Y54" s="25">
        <v>260</v>
      </c>
      <c r="Z54" s="15">
        <f t="shared" si="3"/>
        <v>11335.999999999998</v>
      </c>
      <c r="AA54" s="15">
        <f t="shared" si="4"/>
        <v>37059.999999999993</v>
      </c>
    </row>
    <row r="55" spans="1:27" s="27" customFormat="1">
      <c r="A55" s="32">
        <v>52</v>
      </c>
      <c r="B55" s="13">
        <v>45934</v>
      </c>
      <c r="C55" s="13">
        <v>45934</v>
      </c>
      <c r="D55" s="54">
        <v>251004033</v>
      </c>
      <c r="E55" s="14" t="s">
        <v>183</v>
      </c>
      <c r="F55" s="14" t="s">
        <v>184</v>
      </c>
      <c r="G55" s="14">
        <v>25</v>
      </c>
      <c r="H55" s="55">
        <v>24</v>
      </c>
      <c r="I55" s="36" t="s">
        <v>37</v>
      </c>
      <c r="J55" s="35" t="s">
        <v>23</v>
      </c>
      <c r="K55" s="36" t="s">
        <v>38</v>
      </c>
      <c r="L55" s="14" t="s">
        <v>185</v>
      </c>
      <c r="M55" s="14" t="s">
        <v>55</v>
      </c>
      <c r="N55" s="44">
        <v>54.64</v>
      </c>
      <c r="O55" s="44">
        <v>12.14</v>
      </c>
      <c r="P55" s="18">
        <f t="shared" si="0"/>
        <v>42.5</v>
      </c>
      <c r="Q55" s="14">
        <v>445</v>
      </c>
      <c r="R55" s="19">
        <f t="shared" si="1"/>
        <v>18912.5</v>
      </c>
      <c r="S55" s="14"/>
      <c r="T55" s="15"/>
      <c r="V55" s="15" t="s">
        <v>24</v>
      </c>
      <c r="W55" s="16">
        <v>145</v>
      </c>
      <c r="X55" s="37">
        <f t="shared" si="2"/>
        <v>6162.5</v>
      </c>
      <c r="Y55" s="25">
        <v>260</v>
      </c>
      <c r="Z55" s="15">
        <f t="shared" si="3"/>
        <v>11050</v>
      </c>
      <c r="AA55" s="15">
        <f t="shared" si="4"/>
        <v>36125</v>
      </c>
    </row>
    <row r="56" spans="1:27" s="27" customFormat="1">
      <c r="A56" s="32">
        <v>53</v>
      </c>
      <c r="B56" s="13">
        <v>45934</v>
      </c>
      <c r="C56" s="13">
        <v>45934</v>
      </c>
      <c r="D56" s="54">
        <v>251004034</v>
      </c>
      <c r="E56" s="14" t="s">
        <v>186</v>
      </c>
      <c r="F56" s="14" t="s">
        <v>187</v>
      </c>
      <c r="G56" s="14">
        <v>25</v>
      </c>
      <c r="H56" s="55">
        <v>24</v>
      </c>
      <c r="I56" s="36" t="s">
        <v>37</v>
      </c>
      <c r="J56" s="35" t="s">
        <v>23</v>
      </c>
      <c r="K56" s="36" t="s">
        <v>38</v>
      </c>
      <c r="L56" s="14" t="s">
        <v>95</v>
      </c>
      <c r="M56" s="14" t="s">
        <v>55</v>
      </c>
      <c r="N56" s="14">
        <v>53.96</v>
      </c>
      <c r="O56" s="44">
        <v>12.38</v>
      </c>
      <c r="P56" s="18">
        <f t="shared" si="0"/>
        <v>41.58</v>
      </c>
      <c r="Q56" s="14">
        <v>445</v>
      </c>
      <c r="R56" s="19">
        <f t="shared" si="1"/>
        <v>18503.099999999999</v>
      </c>
      <c r="S56" s="14"/>
      <c r="T56" s="15"/>
      <c r="V56" s="15" t="s">
        <v>24</v>
      </c>
      <c r="W56" s="16">
        <v>145</v>
      </c>
      <c r="X56" s="37">
        <f t="shared" si="2"/>
        <v>6029.0999999999995</v>
      </c>
      <c r="Y56" s="25">
        <v>260</v>
      </c>
      <c r="Z56" s="15">
        <f t="shared" si="3"/>
        <v>10810.8</v>
      </c>
      <c r="AA56" s="15">
        <f t="shared" si="4"/>
        <v>35343</v>
      </c>
    </row>
    <row r="57" spans="1:27" s="27" customFormat="1">
      <c r="A57" s="32">
        <v>54</v>
      </c>
      <c r="B57" s="13">
        <v>45934</v>
      </c>
      <c r="C57" s="13">
        <v>45934</v>
      </c>
      <c r="D57" s="54">
        <v>251004035</v>
      </c>
      <c r="E57" s="14" t="s">
        <v>188</v>
      </c>
      <c r="F57" s="14" t="s">
        <v>189</v>
      </c>
      <c r="G57" s="14">
        <v>25</v>
      </c>
      <c r="H57" s="55">
        <v>24</v>
      </c>
      <c r="I57" s="36" t="s">
        <v>37</v>
      </c>
      <c r="J57" s="35" t="s">
        <v>23</v>
      </c>
      <c r="K57" s="36" t="s">
        <v>38</v>
      </c>
      <c r="L57" s="14" t="s">
        <v>190</v>
      </c>
      <c r="M57" s="14" t="s">
        <v>55</v>
      </c>
      <c r="N57" s="44">
        <v>48.04</v>
      </c>
      <c r="O57" s="44">
        <v>11.8</v>
      </c>
      <c r="P57" s="18">
        <f t="shared" si="0"/>
        <v>36.239999999999995</v>
      </c>
      <c r="Q57" s="14">
        <v>445</v>
      </c>
      <c r="R57" s="19">
        <f t="shared" si="1"/>
        <v>16126.799999999997</v>
      </c>
      <c r="S57" s="14"/>
      <c r="T57" s="15"/>
      <c r="V57" s="15" t="s">
        <v>24</v>
      </c>
      <c r="W57" s="16">
        <v>145</v>
      </c>
      <c r="X57" s="37">
        <f t="shared" si="2"/>
        <v>5254.7999999999993</v>
      </c>
      <c r="Y57" s="25">
        <v>260</v>
      </c>
      <c r="Z57" s="15">
        <f t="shared" si="3"/>
        <v>9422.3999999999978</v>
      </c>
      <c r="AA57" s="15">
        <f t="shared" si="4"/>
        <v>30803.999999999996</v>
      </c>
    </row>
    <row r="58" spans="1:27" s="27" customFormat="1">
      <c r="A58" s="32">
        <v>55</v>
      </c>
      <c r="B58" s="13">
        <v>45934</v>
      </c>
      <c r="C58" s="13">
        <v>45934</v>
      </c>
      <c r="D58" s="54">
        <v>251004036</v>
      </c>
      <c r="E58" s="14" t="s">
        <v>191</v>
      </c>
      <c r="F58" s="14" t="s">
        <v>192</v>
      </c>
      <c r="G58" s="14">
        <v>25</v>
      </c>
      <c r="H58" s="55">
        <v>24</v>
      </c>
      <c r="I58" s="36" t="s">
        <v>37</v>
      </c>
      <c r="J58" s="35" t="s">
        <v>23</v>
      </c>
      <c r="K58" s="36" t="s">
        <v>38</v>
      </c>
      <c r="L58" s="14" t="s">
        <v>193</v>
      </c>
      <c r="M58" s="14" t="s">
        <v>55</v>
      </c>
      <c r="N58" s="44">
        <v>66.42</v>
      </c>
      <c r="O58" s="14">
        <v>15.52</v>
      </c>
      <c r="P58" s="18">
        <f t="shared" si="0"/>
        <v>50.900000000000006</v>
      </c>
      <c r="Q58" s="14">
        <v>445</v>
      </c>
      <c r="R58" s="19">
        <f t="shared" si="1"/>
        <v>22650.500000000004</v>
      </c>
      <c r="S58" s="14"/>
      <c r="T58" s="15"/>
      <c r="V58" s="15" t="s">
        <v>24</v>
      </c>
      <c r="W58" s="16">
        <v>145</v>
      </c>
      <c r="X58" s="37">
        <f t="shared" si="2"/>
        <v>7380.5000000000009</v>
      </c>
      <c r="Y58" s="25">
        <v>260</v>
      </c>
      <c r="Z58" s="15">
        <f t="shared" si="3"/>
        <v>13234.000000000002</v>
      </c>
      <c r="AA58" s="15">
        <f t="shared" si="4"/>
        <v>43265.000000000007</v>
      </c>
    </row>
    <row r="59" spans="1:27" s="40" customFormat="1">
      <c r="A59" s="32">
        <v>56</v>
      </c>
      <c r="B59" s="13">
        <v>45934</v>
      </c>
      <c r="C59" s="13">
        <v>45934</v>
      </c>
      <c r="D59" s="54">
        <v>251004037</v>
      </c>
      <c r="E59" s="14" t="s">
        <v>194</v>
      </c>
      <c r="F59" s="14" t="s">
        <v>195</v>
      </c>
      <c r="G59" s="14">
        <v>25</v>
      </c>
      <c r="H59" s="55">
        <v>24</v>
      </c>
      <c r="I59" s="36" t="s">
        <v>37</v>
      </c>
      <c r="J59" s="35" t="s">
        <v>23</v>
      </c>
      <c r="K59" s="36" t="s">
        <v>38</v>
      </c>
      <c r="L59" s="14" t="s">
        <v>70</v>
      </c>
      <c r="M59" s="14" t="s">
        <v>55</v>
      </c>
      <c r="N59" s="14">
        <v>53.22</v>
      </c>
      <c r="O59" s="44">
        <v>12.22</v>
      </c>
      <c r="P59" s="18">
        <f t="shared" si="0"/>
        <v>41</v>
      </c>
      <c r="Q59" s="14">
        <v>445</v>
      </c>
      <c r="R59" s="19">
        <f t="shared" si="1"/>
        <v>18245</v>
      </c>
      <c r="S59" s="14"/>
      <c r="T59" s="15"/>
      <c r="V59" s="15" t="s">
        <v>24</v>
      </c>
      <c r="W59" s="16">
        <v>145</v>
      </c>
      <c r="X59" s="37">
        <f t="shared" si="2"/>
        <v>5945</v>
      </c>
      <c r="Y59" s="25">
        <v>260</v>
      </c>
      <c r="Z59" s="15">
        <f t="shared" si="3"/>
        <v>10660</v>
      </c>
      <c r="AA59" s="15">
        <f t="shared" si="4"/>
        <v>34850</v>
      </c>
    </row>
    <row r="60" spans="1:27" s="27" customFormat="1">
      <c r="A60" s="32">
        <v>57</v>
      </c>
      <c r="B60" s="13">
        <v>45934</v>
      </c>
      <c r="C60" s="13">
        <v>45934</v>
      </c>
      <c r="D60" s="54">
        <v>251004038</v>
      </c>
      <c r="E60" s="14" t="s">
        <v>196</v>
      </c>
      <c r="F60" s="14" t="s">
        <v>197</v>
      </c>
      <c r="G60" s="14">
        <v>25</v>
      </c>
      <c r="H60" s="55">
        <v>24</v>
      </c>
      <c r="I60" s="36" t="s">
        <v>37</v>
      </c>
      <c r="J60" s="35" t="s">
        <v>23</v>
      </c>
      <c r="K60" s="36" t="s">
        <v>38</v>
      </c>
      <c r="L60" s="14" t="s">
        <v>198</v>
      </c>
      <c r="M60" s="14" t="s">
        <v>55</v>
      </c>
      <c r="N60" s="44">
        <v>64.64</v>
      </c>
      <c r="O60" s="44">
        <v>15.82</v>
      </c>
      <c r="P60" s="18">
        <f t="shared" si="0"/>
        <v>48.82</v>
      </c>
      <c r="Q60" s="14">
        <v>445</v>
      </c>
      <c r="R60" s="19">
        <f t="shared" si="1"/>
        <v>21724.9</v>
      </c>
      <c r="S60" s="14"/>
      <c r="T60" s="15"/>
      <c r="V60" s="15" t="s">
        <v>24</v>
      </c>
      <c r="W60" s="16">
        <v>145</v>
      </c>
      <c r="X60" s="37">
        <f t="shared" si="2"/>
        <v>7078.9</v>
      </c>
      <c r="Y60" s="25">
        <v>260</v>
      </c>
      <c r="Z60" s="15">
        <f t="shared" si="3"/>
        <v>12693.2</v>
      </c>
      <c r="AA60" s="15">
        <f t="shared" si="4"/>
        <v>41497</v>
      </c>
    </row>
    <row r="61" spans="1:27" s="27" customFormat="1">
      <c r="A61" s="32">
        <v>58</v>
      </c>
      <c r="B61" s="13">
        <v>45934</v>
      </c>
      <c r="C61" s="13">
        <v>45934</v>
      </c>
      <c r="D61" s="54">
        <v>251004039</v>
      </c>
      <c r="E61" s="14" t="s">
        <v>199</v>
      </c>
      <c r="F61" s="14" t="s">
        <v>200</v>
      </c>
      <c r="G61" s="14">
        <v>25</v>
      </c>
      <c r="H61" s="55">
        <v>24</v>
      </c>
      <c r="I61" s="36" t="s">
        <v>37</v>
      </c>
      <c r="J61" s="35" t="s">
        <v>23</v>
      </c>
      <c r="K61" s="36" t="s">
        <v>38</v>
      </c>
      <c r="L61" s="14" t="s">
        <v>201</v>
      </c>
      <c r="M61" s="14" t="s">
        <v>55</v>
      </c>
      <c r="N61" s="44">
        <v>65.3</v>
      </c>
      <c r="O61" s="14">
        <v>17.68</v>
      </c>
      <c r="P61" s="18">
        <f t="shared" si="0"/>
        <v>47.62</v>
      </c>
      <c r="Q61" s="14">
        <v>445</v>
      </c>
      <c r="R61" s="19">
        <f t="shared" si="1"/>
        <v>21190.899999999998</v>
      </c>
      <c r="S61" s="14"/>
      <c r="T61" s="15"/>
      <c r="V61" s="15" t="s">
        <v>24</v>
      </c>
      <c r="W61" s="16">
        <v>145</v>
      </c>
      <c r="X61" s="37">
        <f t="shared" si="2"/>
        <v>6904.9</v>
      </c>
      <c r="Y61" s="25">
        <v>260</v>
      </c>
      <c r="Z61" s="15">
        <f t="shared" si="3"/>
        <v>12381.199999999999</v>
      </c>
      <c r="AA61" s="15">
        <f t="shared" si="4"/>
        <v>40476.999999999993</v>
      </c>
    </row>
    <row r="62" spans="1:27" s="27" customFormat="1">
      <c r="A62" s="32">
        <v>59</v>
      </c>
      <c r="B62" s="13">
        <v>45934</v>
      </c>
      <c r="C62" s="13">
        <v>45934</v>
      </c>
      <c r="D62" s="54">
        <v>251004040</v>
      </c>
      <c r="E62" s="14" t="s">
        <v>202</v>
      </c>
      <c r="F62" s="14" t="s">
        <v>203</v>
      </c>
      <c r="G62" s="14">
        <v>25</v>
      </c>
      <c r="H62" s="55">
        <v>24</v>
      </c>
      <c r="I62" s="36" t="s">
        <v>37</v>
      </c>
      <c r="J62" s="35" t="s">
        <v>23</v>
      </c>
      <c r="K62" s="36" t="s">
        <v>38</v>
      </c>
      <c r="L62" s="14" t="s">
        <v>101</v>
      </c>
      <c r="M62" s="14" t="s">
        <v>55</v>
      </c>
      <c r="N62" s="44">
        <v>50.4</v>
      </c>
      <c r="O62" s="44">
        <v>11.54</v>
      </c>
      <c r="P62" s="18">
        <f t="shared" si="0"/>
        <v>38.86</v>
      </c>
      <c r="Q62" s="14">
        <v>445</v>
      </c>
      <c r="R62" s="19">
        <f t="shared" si="1"/>
        <v>17292.7</v>
      </c>
      <c r="S62" s="14"/>
      <c r="T62" s="15"/>
      <c r="V62" s="15" t="s">
        <v>24</v>
      </c>
      <c r="W62" s="16">
        <v>145</v>
      </c>
      <c r="X62" s="37">
        <f t="shared" si="2"/>
        <v>5634.7</v>
      </c>
      <c r="Y62" s="25">
        <v>260</v>
      </c>
      <c r="Z62" s="15">
        <f t="shared" si="3"/>
        <v>10103.6</v>
      </c>
      <c r="AA62" s="15">
        <f t="shared" si="4"/>
        <v>33031</v>
      </c>
    </row>
    <row r="63" spans="1:27" s="27" customFormat="1">
      <c r="A63" s="32">
        <v>60</v>
      </c>
      <c r="B63" s="13">
        <v>45934</v>
      </c>
      <c r="C63" s="13">
        <v>45934</v>
      </c>
      <c r="D63" s="54">
        <v>251004041</v>
      </c>
      <c r="E63" s="14" t="s">
        <v>204</v>
      </c>
      <c r="F63" s="14" t="s">
        <v>205</v>
      </c>
      <c r="G63" s="14">
        <v>25</v>
      </c>
      <c r="H63" s="55">
        <v>24</v>
      </c>
      <c r="I63" s="36" t="s">
        <v>37</v>
      </c>
      <c r="J63" s="35" t="s">
        <v>23</v>
      </c>
      <c r="K63" s="36" t="s">
        <v>38</v>
      </c>
      <c r="L63" s="14" t="s">
        <v>39</v>
      </c>
      <c r="M63" s="14" t="s">
        <v>55</v>
      </c>
      <c r="N63" s="44">
        <v>42.06</v>
      </c>
      <c r="O63" s="44">
        <v>10.6</v>
      </c>
      <c r="P63" s="18">
        <f t="shared" si="0"/>
        <v>31.46</v>
      </c>
      <c r="Q63" s="14">
        <v>445</v>
      </c>
      <c r="R63" s="19">
        <f t="shared" si="1"/>
        <v>13999.7</v>
      </c>
      <c r="S63" s="14"/>
      <c r="T63" s="15"/>
      <c r="V63" s="15" t="s">
        <v>24</v>
      </c>
      <c r="W63" s="16">
        <v>145</v>
      </c>
      <c r="X63" s="37">
        <f t="shared" si="2"/>
        <v>4561.7</v>
      </c>
      <c r="Y63" s="25">
        <v>260</v>
      </c>
      <c r="Z63" s="15">
        <f t="shared" si="3"/>
        <v>8179.6</v>
      </c>
      <c r="AA63" s="15">
        <f t="shared" si="4"/>
        <v>26741</v>
      </c>
    </row>
    <row r="64" spans="1:27" s="27" customFormat="1">
      <c r="A64" s="32">
        <v>61</v>
      </c>
      <c r="B64" s="13">
        <v>45934</v>
      </c>
      <c r="C64" s="13">
        <v>45934</v>
      </c>
      <c r="D64" s="54">
        <v>251004042</v>
      </c>
      <c r="E64" s="14" t="s">
        <v>206</v>
      </c>
      <c r="F64" s="14" t="s">
        <v>207</v>
      </c>
      <c r="G64" s="14">
        <v>25</v>
      </c>
      <c r="H64" s="55">
        <v>24</v>
      </c>
      <c r="I64" s="36" t="s">
        <v>37</v>
      </c>
      <c r="J64" s="35" t="s">
        <v>23</v>
      </c>
      <c r="K64" s="36" t="s">
        <v>38</v>
      </c>
      <c r="L64" s="14" t="s">
        <v>119</v>
      </c>
      <c r="M64" s="14" t="s">
        <v>55</v>
      </c>
      <c r="N64" s="14">
        <v>67.5</v>
      </c>
      <c r="O64" s="14">
        <v>18.079999999999998</v>
      </c>
      <c r="P64" s="18">
        <f t="shared" si="0"/>
        <v>49.42</v>
      </c>
      <c r="Q64" s="14">
        <v>445</v>
      </c>
      <c r="R64" s="19">
        <f t="shared" si="1"/>
        <v>21991.9</v>
      </c>
      <c r="S64" s="14"/>
      <c r="T64" s="15"/>
      <c r="V64" s="15" t="s">
        <v>24</v>
      </c>
      <c r="W64" s="16">
        <v>145</v>
      </c>
      <c r="X64" s="37">
        <f t="shared" si="2"/>
        <v>7165.9000000000005</v>
      </c>
      <c r="Y64" s="25">
        <v>260</v>
      </c>
      <c r="Z64" s="15">
        <f t="shared" si="3"/>
        <v>12849.2</v>
      </c>
      <c r="AA64" s="15">
        <f t="shared" si="4"/>
        <v>42007</v>
      </c>
    </row>
    <row r="65" spans="1:27" s="27" customFormat="1">
      <c r="A65" s="32">
        <v>62</v>
      </c>
      <c r="B65" s="13">
        <v>45934</v>
      </c>
      <c r="C65" s="13">
        <v>45934</v>
      </c>
      <c r="D65" s="54">
        <v>251004043</v>
      </c>
      <c r="E65" s="14" t="s">
        <v>208</v>
      </c>
      <c r="F65" s="14" t="s">
        <v>209</v>
      </c>
      <c r="G65" s="14">
        <v>25</v>
      </c>
      <c r="H65" s="55">
        <v>24</v>
      </c>
      <c r="I65" s="36" t="s">
        <v>37</v>
      </c>
      <c r="J65" s="35" t="s">
        <v>23</v>
      </c>
      <c r="K65" s="36" t="s">
        <v>38</v>
      </c>
      <c r="L65" s="14" t="s">
        <v>64</v>
      </c>
      <c r="M65" s="14" t="s">
        <v>55</v>
      </c>
      <c r="N65" s="44">
        <v>65.98</v>
      </c>
      <c r="O65" s="44">
        <v>16.38</v>
      </c>
      <c r="P65" s="18">
        <f t="shared" si="0"/>
        <v>49.600000000000009</v>
      </c>
      <c r="Q65" s="14">
        <v>445</v>
      </c>
      <c r="R65" s="19">
        <f t="shared" si="1"/>
        <v>22072.000000000004</v>
      </c>
      <c r="S65" s="14"/>
      <c r="T65" s="15"/>
      <c r="V65" s="15" t="s">
        <v>24</v>
      </c>
      <c r="W65" s="16">
        <v>145</v>
      </c>
      <c r="X65" s="37">
        <f t="shared" si="2"/>
        <v>7192.0000000000009</v>
      </c>
      <c r="Y65" s="25">
        <v>260</v>
      </c>
      <c r="Z65" s="15">
        <f t="shared" si="3"/>
        <v>12896.000000000002</v>
      </c>
      <c r="AA65" s="15">
        <f t="shared" si="4"/>
        <v>42160.000000000007</v>
      </c>
    </row>
    <row r="66" spans="1:27" s="27" customFormat="1">
      <c r="A66" s="32">
        <v>63</v>
      </c>
      <c r="B66" s="13">
        <v>45934</v>
      </c>
      <c r="C66" s="13">
        <v>45934</v>
      </c>
      <c r="D66" s="54">
        <v>251004044</v>
      </c>
      <c r="E66" s="14" t="s">
        <v>210</v>
      </c>
      <c r="F66" s="14" t="s">
        <v>211</v>
      </c>
      <c r="G66" s="14">
        <v>25</v>
      </c>
      <c r="H66" s="57">
        <v>115</v>
      </c>
      <c r="I66" s="36" t="s">
        <v>46</v>
      </c>
      <c r="J66" s="42" t="s">
        <v>23</v>
      </c>
      <c r="K66" s="43" t="s">
        <v>38</v>
      </c>
      <c r="L66" s="14" t="s">
        <v>107</v>
      </c>
      <c r="M66" s="14" t="s">
        <v>48</v>
      </c>
      <c r="N66" s="14">
        <v>46.06</v>
      </c>
      <c r="O66" s="14">
        <v>11.82</v>
      </c>
      <c r="P66" s="18">
        <f t="shared" si="0"/>
        <v>34.24</v>
      </c>
      <c r="Q66" s="14">
        <v>545</v>
      </c>
      <c r="R66" s="19">
        <f t="shared" si="1"/>
        <v>18660.8</v>
      </c>
      <c r="S66" s="14"/>
      <c r="T66" s="15"/>
      <c r="V66" s="15" t="s">
        <v>24</v>
      </c>
      <c r="W66" s="14">
        <v>145</v>
      </c>
      <c r="X66" s="45">
        <f t="shared" si="2"/>
        <v>4964.8</v>
      </c>
      <c r="Y66" s="15">
        <v>260</v>
      </c>
      <c r="Z66" s="15">
        <f t="shared" si="3"/>
        <v>8902.4</v>
      </c>
      <c r="AA66" s="15">
        <f t="shared" si="4"/>
        <v>32528</v>
      </c>
    </row>
    <row r="67" spans="1:27" s="27" customFormat="1">
      <c r="A67" s="32">
        <v>64</v>
      </c>
      <c r="B67" s="13">
        <v>45934</v>
      </c>
      <c r="C67" s="13">
        <v>45934</v>
      </c>
      <c r="D67" s="54">
        <v>251004045</v>
      </c>
      <c r="E67" s="14" t="s">
        <v>212</v>
      </c>
      <c r="F67" s="14" t="s">
        <v>213</v>
      </c>
      <c r="G67" s="14">
        <v>25</v>
      </c>
      <c r="H67" s="57">
        <v>115</v>
      </c>
      <c r="I67" s="36" t="s">
        <v>46</v>
      </c>
      <c r="J67" s="42" t="s">
        <v>23</v>
      </c>
      <c r="K67" s="43" t="s">
        <v>38</v>
      </c>
      <c r="L67" s="14" t="s">
        <v>47</v>
      </c>
      <c r="M67" s="14" t="s">
        <v>48</v>
      </c>
      <c r="N67" s="44">
        <v>61.4</v>
      </c>
      <c r="O67" s="44">
        <v>15.92</v>
      </c>
      <c r="P67" s="18">
        <f t="shared" si="0"/>
        <v>45.48</v>
      </c>
      <c r="Q67" s="14">
        <v>545</v>
      </c>
      <c r="R67" s="19">
        <f t="shared" si="1"/>
        <v>24786.6</v>
      </c>
      <c r="S67" s="14"/>
      <c r="T67" s="15"/>
      <c r="V67" s="15" t="s">
        <v>24</v>
      </c>
      <c r="W67" s="14">
        <v>145</v>
      </c>
      <c r="X67" s="45">
        <f t="shared" si="2"/>
        <v>6594.5999999999995</v>
      </c>
      <c r="Y67" s="15">
        <v>260</v>
      </c>
      <c r="Z67" s="15">
        <f t="shared" si="3"/>
        <v>11824.8</v>
      </c>
      <c r="AA67" s="15">
        <f t="shared" si="4"/>
        <v>43206</v>
      </c>
    </row>
    <row r="68" spans="1:27" s="40" customFormat="1">
      <c r="A68" s="32">
        <v>65</v>
      </c>
      <c r="B68" s="13">
        <v>45934</v>
      </c>
      <c r="C68" s="13">
        <v>45934</v>
      </c>
      <c r="D68" s="60" t="s">
        <v>214</v>
      </c>
      <c r="E68" s="14"/>
      <c r="F68" s="14"/>
      <c r="G68" s="14"/>
      <c r="H68" s="61">
        <v>285</v>
      </c>
      <c r="I68" s="62" t="s">
        <v>215</v>
      </c>
      <c r="J68" s="42" t="s">
        <v>23</v>
      </c>
      <c r="K68" s="36" t="s">
        <v>38</v>
      </c>
      <c r="L68" s="14" t="s">
        <v>216</v>
      </c>
      <c r="M68" s="14" t="s">
        <v>48</v>
      </c>
      <c r="N68" s="14">
        <v>45.28</v>
      </c>
      <c r="O68" s="44">
        <v>12.1</v>
      </c>
      <c r="P68" s="18">
        <f t="shared" ref="P68:P131" si="5">N68-O68</f>
        <v>33.18</v>
      </c>
      <c r="Q68" s="14">
        <v>520</v>
      </c>
      <c r="R68" s="19">
        <f t="shared" ref="R68:R131" si="6">Q68*P68</f>
        <v>17253.599999999999</v>
      </c>
      <c r="S68" s="14"/>
      <c r="T68" s="15"/>
      <c r="V68" s="15" t="s">
        <v>217</v>
      </c>
      <c r="W68" s="14"/>
      <c r="X68" s="45">
        <f t="shared" ref="X68:X131" si="7">W68*P68</f>
        <v>0</v>
      </c>
      <c r="Y68" s="15"/>
      <c r="Z68" s="15">
        <f t="shared" ref="Z68:Z131" si="8">Y68*P68</f>
        <v>0</v>
      </c>
      <c r="AA68" s="15">
        <f t="shared" ref="AA68:AA131" si="9">R68+X68+Z68</f>
        <v>17253.599999999999</v>
      </c>
    </row>
    <row r="69" spans="1:27" s="27" customFormat="1">
      <c r="A69" s="32">
        <v>66</v>
      </c>
      <c r="B69" s="13">
        <v>45934</v>
      </c>
      <c r="C69" s="13">
        <v>45934</v>
      </c>
      <c r="D69" s="63">
        <v>251004047</v>
      </c>
      <c r="E69" s="14" t="s">
        <v>218</v>
      </c>
      <c r="F69" s="14" t="s">
        <v>219</v>
      </c>
      <c r="G69" s="14">
        <v>25</v>
      </c>
      <c r="H69" s="57">
        <v>115</v>
      </c>
      <c r="I69" s="36" t="s">
        <v>46</v>
      </c>
      <c r="J69" s="42" t="s">
        <v>23</v>
      </c>
      <c r="K69" s="43" t="s">
        <v>38</v>
      </c>
      <c r="L69" s="14" t="s">
        <v>122</v>
      </c>
      <c r="M69" s="14" t="s">
        <v>55</v>
      </c>
      <c r="N69" s="14">
        <v>60.76</v>
      </c>
      <c r="O69" s="44">
        <v>15.94</v>
      </c>
      <c r="P69" s="18">
        <f t="shared" si="5"/>
        <v>44.82</v>
      </c>
      <c r="Q69" s="14">
        <v>445</v>
      </c>
      <c r="R69" s="19">
        <f t="shared" si="6"/>
        <v>19944.900000000001</v>
      </c>
      <c r="S69" s="14"/>
      <c r="T69" s="15"/>
      <c r="V69" s="15" t="s">
        <v>24</v>
      </c>
      <c r="W69" s="14">
        <v>145</v>
      </c>
      <c r="X69" s="45">
        <f t="shared" si="7"/>
        <v>6498.9</v>
      </c>
      <c r="Y69" s="15">
        <v>260</v>
      </c>
      <c r="Z69" s="15">
        <f t="shared" si="8"/>
        <v>11653.2</v>
      </c>
      <c r="AA69" s="15">
        <f t="shared" si="9"/>
        <v>38097</v>
      </c>
    </row>
    <row r="70" spans="1:27" s="27" customFormat="1">
      <c r="A70" s="32">
        <v>67</v>
      </c>
      <c r="B70" s="13">
        <v>45934</v>
      </c>
      <c r="C70" s="13">
        <v>45934</v>
      </c>
      <c r="D70" s="63">
        <v>251004046</v>
      </c>
      <c r="E70" s="14" t="s">
        <v>220</v>
      </c>
      <c r="F70" s="14" t="s">
        <v>221</v>
      </c>
      <c r="G70" s="14">
        <v>25</v>
      </c>
      <c r="H70" s="57">
        <v>115</v>
      </c>
      <c r="I70" s="36" t="s">
        <v>46</v>
      </c>
      <c r="J70" s="42" t="s">
        <v>23</v>
      </c>
      <c r="K70" s="43" t="s">
        <v>38</v>
      </c>
      <c r="L70" s="14" t="s">
        <v>76</v>
      </c>
      <c r="M70" s="14" t="s">
        <v>55</v>
      </c>
      <c r="N70" s="14">
        <v>70.14</v>
      </c>
      <c r="O70" s="44">
        <v>18.34</v>
      </c>
      <c r="P70" s="18">
        <f t="shared" si="5"/>
        <v>51.8</v>
      </c>
      <c r="Q70" s="14">
        <v>445</v>
      </c>
      <c r="R70" s="19">
        <f t="shared" si="6"/>
        <v>23051</v>
      </c>
      <c r="S70" s="14"/>
      <c r="T70" s="15"/>
      <c r="V70" s="15" t="s">
        <v>24</v>
      </c>
      <c r="W70" s="14">
        <v>145</v>
      </c>
      <c r="X70" s="45">
        <f t="shared" si="7"/>
        <v>7511</v>
      </c>
      <c r="Y70" s="15">
        <v>260</v>
      </c>
      <c r="Z70" s="15">
        <f t="shared" si="8"/>
        <v>13468</v>
      </c>
      <c r="AA70" s="15">
        <f t="shared" si="9"/>
        <v>44030</v>
      </c>
    </row>
    <row r="71" spans="1:27" s="27" customFormat="1">
      <c r="A71" s="32">
        <v>68</v>
      </c>
      <c r="B71" s="13">
        <v>45934</v>
      </c>
      <c r="C71" s="13">
        <v>45934</v>
      </c>
      <c r="D71" s="63">
        <v>251004048</v>
      </c>
      <c r="E71" s="14" t="s">
        <v>222</v>
      </c>
      <c r="F71" s="14" t="s">
        <v>223</v>
      </c>
      <c r="G71" s="14">
        <v>25</v>
      </c>
      <c r="H71" s="57">
        <v>115</v>
      </c>
      <c r="I71" s="36" t="s">
        <v>46</v>
      </c>
      <c r="J71" s="42" t="s">
        <v>23</v>
      </c>
      <c r="K71" s="43" t="s">
        <v>38</v>
      </c>
      <c r="L71" s="14" t="s">
        <v>142</v>
      </c>
      <c r="M71" s="14" t="s">
        <v>55</v>
      </c>
      <c r="N71" s="14">
        <v>49.84</v>
      </c>
      <c r="O71" s="14">
        <v>11.76</v>
      </c>
      <c r="P71" s="18">
        <f t="shared" si="5"/>
        <v>38.080000000000005</v>
      </c>
      <c r="Q71" s="14">
        <v>445</v>
      </c>
      <c r="R71" s="19">
        <f t="shared" si="6"/>
        <v>16945.600000000002</v>
      </c>
      <c r="S71" s="14"/>
      <c r="T71" s="15"/>
      <c r="V71" s="15" t="s">
        <v>24</v>
      </c>
      <c r="W71" s="14">
        <v>145</v>
      </c>
      <c r="X71" s="45">
        <f t="shared" si="7"/>
        <v>5521.6</v>
      </c>
      <c r="Y71" s="15">
        <v>260</v>
      </c>
      <c r="Z71" s="15">
        <f t="shared" si="8"/>
        <v>9900.8000000000011</v>
      </c>
      <c r="AA71" s="15">
        <f t="shared" si="9"/>
        <v>32368.000000000007</v>
      </c>
    </row>
    <row r="72" spans="1:27" s="27" customFormat="1">
      <c r="A72" s="32">
        <v>69</v>
      </c>
      <c r="B72" s="13">
        <v>45934</v>
      </c>
      <c r="C72" s="13">
        <v>45934</v>
      </c>
      <c r="D72" s="63">
        <v>251004049</v>
      </c>
      <c r="E72" s="14" t="s">
        <v>224</v>
      </c>
      <c r="F72" s="14" t="s">
        <v>225</v>
      </c>
      <c r="G72" s="14">
        <v>25</v>
      </c>
      <c r="H72" s="57">
        <v>115</v>
      </c>
      <c r="I72" s="36" t="s">
        <v>46</v>
      </c>
      <c r="J72" s="42" t="s">
        <v>23</v>
      </c>
      <c r="K72" s="43" t="s">
        <v>38</v>
      </c>
      <c r="L72" s="14" t="s">
        <v>82</v>
      </c>
      <c r="M72" s="14" t="s">
        <v>55</v>
      </c>
      <c r="N72" s="14">
        <v>62</v>
      </c>
      <c r="O72" s="44">
        <v>15.12</v>
      </c>
      <c r="P72" s="18">
        <f t="shared" si="5"/>
        <v>46.88</v>
      </c>
      <c r="Q72" s="14">
        <v>445</v>
      </c>
      <c r="R72" s="19">
        <f t="shared" si="6"/>
        <v>20861.600000000002</v>
      </c>
      <c r="S72" s="14"/>
      <c r="T72" s="15"/>
      <c r="V72" s="15" t="s">
        <v>24</v>
      </c>
      <c r="W72" s="14">
        <v>145</v>
      </c>
      <c r="X72" s="45">
        <f t="shared" si="7"/>
        <v>6797.6</v>
      </c>
      <c r="Y72" s="15">
        <v>260</v>
      </c>
      <c r="Z72" s="15">
        <f t="shared" si="8"/>
        <v>12188.800000000001</v>
      </c>
      <c r="AA72" s="15">
        <f t="shared" si="9"/>
        <v>39848.000000000007</v>
      </c>
    </row>
    <row r="73" spans="1:27" s="40" customFormat="1">
      <c r="A73" s="32">
        <v>70</v>
      </c>
      <c r="B73" s="13">
        <v>45934</v>
      </c>
      <c r="C73" s="13">
        <v>45934</v>
      </c>
      <c r="D73" s="63">
        <v>251004050</v>
      </c>
      <c r="E73" s="14" t="s">
        <v>226</v>
      </c>
      <c r="F73" s="14" t="s">
        <v>227</v>
      </c>
      <c r="G73" s="14">
        <v>20</v>
      </c>
      <c r="H73" s="57">
        <v>115</v>
      </c>
      <c r="I73" s="36" t="s">
        <v>46</v>
      </c>
      <c r="J73" s="42" t="s">
        <v>23</v>
      </c>
      <c r="K73" s="43" t="s">
        <v>38</v>
      </c>
      <c r="L73" s="14" t="s">
        <v>116</v>
      </c>
      <c r="M73" s="14" t="s">
        <v>55</v>
      </c>
      <c r="N73" s="14">
        <v>61</v>
      </c>
      <c r="O73" s="14">
        <v>14.96</v>
      </c>
      <c r="P73" s="18">
        <f t="shared" si="5"/>
        <v>46.04</v>
      </c>
      <c r="Q73" s="14">
        <v>445</v>
      </c>
      <c r="R73" s="19">
        <f t="shared" si="6"/>
        <v>20487.8</v>
      </c>
      <c r="S73" s="14"/>
      <c r="T73" s="15"/>
      <c r="V73" s="15" t="s">
        <v>24</v>
      </c>
      <c r="W73" s="14">
        <v>145</v>
      </c>
      <c r="X73" s="45">
        <f t="shared" si="7"/>
        <v>6675.8</v>
      </c>
      <c r="Y73" s="15">
        <v>260</v>
      </c>
      <c r="Z73" s="15">
        <f t="shared" si="8"/>
        <v>11970.4</v>
      </c>
      <c r="AA73" s="15">
        <f t="shared" si="9"/>
        <v>39134</v>
      </c>
    </row>
    <row r="74" spans="1:27" s="27" customFormat="1">
      <c r="A74" s="32">
        <v>71</v>
      </c>
      <c r="B74" s="13">
        <v>45934</v>
      </c>
      <c r="C74" s="13">
        <v>45934</v>
      </c>
      <c r="D74" s="63">
        <v>251004051</v>
      </c>
      <c r="E74" s="14" t="s">
        <v>228</v>
      </c>
      <c r="F74" s="14" t="s">
        <v>229</v>
      </c>
      <c r="G74" s="14">
        <v>20</v>
      </c>
      <c r="H74" s="57">
        <v>115</v>
      </c>
      <c r="I74" s="36" t="s">
        <v>46</v>
      </c>
      <c r="J74" s="42" t="s">
        <v>23</v>
      </c>
      <c r="K74" s="43" t="s">
        <v>38</v>
      </c>
      <c r="L74" s="14" t="s">
        <v>58</v>
      </c>
      <c r="M74" s="14" t="s">
        <v>55</v>
      </c>
      <c r="N74" s="14">
        <v>66.62</v>
      </c>
      <c r="O74" s="14">
        <v>16.28</v>
      </c>
      <c r="P74" s="18">
        <f t="shared" si="5"/>
        <v>50.34</v>
      </c>
      <c r="Q74" s="14">
        <v>445</v>
      </c>
      <c r="R74" s="19">
        <f t="shared" si="6"/>
        <v>22401.300000000003</v>
      </c>
      <c r="S74" s="14"/>
      <c r="T74" s="15"/>
      <c r="V74" s="15" t="s">
        <v>24</v>
      </c>
      <c r="W74" s="14">
        <v>145</v>
      </c>
      <c r="X74" s="45">
        <f t="shared" si="7"/>
        <v>7299.3</v>
      </c>
      <c r="Y74" s="15">
        <v>260</v>
      </c>
      <c r="Z74" s="15">
        <f t="shared" si="8"/>
        <v>13088.400000000001</v>
      </c>
      <c r="AA74" s="15">
        <f t="shared" si="9"/>
        <v>42789</v>
      </c>
    </row>
    <row r="75" spans="1:27" s="40" customFormat="1">
      <c r="A75" s="32">
        <v>72</v>
      </c>
      <c r="B75" s="13">
        <v>45934</v>
      </c>
      <c r="C75" s="13">
        <v>45934</v>
      </c>
      <c r="D75" s="63">
        <v>251004052</v>
      </c>
      <c r="E75" s="14" t="s">
        <v>230</v>
      </c>
      <c r="F75" s="14" t="s">
        <v>231</v>
      </c>
      <c r="G75" s="14">
        <v>20</v>
      </c>
      <c r="H75" s="57">
        <v>115</v>
      </c>
      <c r="I75" s="36" t="s">
        <v>46</v>
      </c>
      <c r="J75" s="42" t="s">
        <v>23</v>
      </c>
      <c r="K75" s="43" t="s">
        <v>38</v>
      </c>
      <c r="L75" s="14" t="s">
        <v>98</v>
      </c>
      <c r="M75" s="14" t="s">
        <v>55</v>
      </c>
      <c r="N75" s="14">
        <v>49.28</v>
      </c>
      <c r="O75" s="14">
        <v>11.96</v>
      </c>
      <c r="P75" s="18">
        <f t="shared" si="5"/>
        <v>37.32</v>
      </c>
      <c r="Q75" s="14">
        <v>445</v>
      </c>
      <c r="R75" s="19">
        <f t="shared" si="6"/>
        <v>16607.400000000001</v>
      </c>
      <c r="S75" s="14"/>
      <c r="T75" s="15"/>
      <c r="V75" s="15" t="s">
        <v>24</v>
      </c>
      <c r="W75" s="14">
        <v>145</v>
      </c>
      <c r="X75" s="45">
        <f t="shared" si="7"/>
        <v>5411.4</v>
      </c>
      <c r="Y75" s="15">
        <v>260</v>
      </c>
      <c r="Z75" s="15">
        <f t="shared" si="8"/>
        <v>9703.2000000000007</v>
      </c>
      <c r="AA75" s="15">
        <f t="shared" si="9"/>
        <v>31722.000000000004</v>
      </c>
    </row>
    <row r="76" spans="1:27" s="27" customFormat="1">
      <c r="A76" s="32">
        <v>73</v>
      </c>
      <c r="B76" s="13">
        <v>45934</v>
      </c>
      <c r="C76" s="13">
        <v>45934</v>
      </c>
      <c r="D76" s="63">
        <v>251004053</v>
      </c>
      <c r="E76" s="14" t="s">
        <v>232</v>
      </c>
      <c r="F76" s="14" t="s">
        <v>233</v>
      </c>
      <c r="G76" s="14">
        <v>20</v>
      </c>
      <c r="H76" s="57">
        <v>115</v>
      </c>
      <c r="I76" s="36" t="s">
        <v>46</v>
      </c>
      <c r="J76" s="42" t="s">
        <v>23</v>
      </c>
      <c r="K76" s="43" t="s">
        <v>38</v>
      </c>
      <c r="L76" s="14" t="s">
        <v>134</v>
      </c>
      <c r="M76" s="14" t="s">
        <v>55</v>
      </c>
      <c r="N76" s="14">
        <v>59.94</v>
      </c>
      <c r="O76" s="14">
        <v>15.66</v>
      </c>
      <c r="P76" s="18">
        <f t="shared" si="5"/>
        <v>44.28</v>
      </c>
      <c r="Q76" s="14">
        <v>445</v>
      </c>
      <c r="R76" s="19">
        <f t="shared" si="6"/>
        <v>19704.600000000002</v>
      </c>
      <c r="S76" s="14"/>
      <c r="T76" s="15"/>
      <c r="V76" s="15" t="s">
        <v>24</v>
      </c>
      <c r="W76" s="14">
        <v>145</v>
      </c>
      <c r="X76" s="45">
        <f t="shared" si="7"/>
        <v>6420.6</v>
      </c>
      <c r="Y76" s="15">
        <v>260</v>
      </c>
      <c r="Z76" s="15">
        <f t="shared" si="8"/>
        <v>11512.800000000001</v>
      </c>
      <c r="AA76" s="15">
        <f t="shared" si="9"/>
        <v>37638.000000000007</v>
      </c>
    </row>
    <row r="77" spans="1:27" s="27" customFormat="1">
      <c r="A77" s="32">
        <v>74</v>
      </c>
      <c r="B77" s="13">
        <v>45934</v>
      </c>
      <c r="C77" s="13">
        <v>45934</v>
      </c>
      <c r="D77" s="63">
        <v>251004054</v>
      </c>
      <c r="E77" s="14" t="s">
        <v>234</v>
      </c>
      <c r="F77" s="14" t="s">
        <v>235</v>
      </c>
      <c r="G77" s="14">
        <v>20</v>
      </c>
      <c r="H77" s="57">
        <v>115</v>
      </c>
      <c r="I77" s="36" t="s">
        <v>46</v>
      </c>
      <c r="J77" s="42" t="s">
        <v>23</v>
      </c>
      <c r="K77" s="43" t="s">
        <v>38</v>
      </c>
      <c r="L77" s="14" t="s">
        <v>236</v>
      </c>
      <c r="M77" s="14" t="s">
        <v>55</v>
      </c>
      <c r="N77" s="14">
        <v>68.88</v>
      </c>
      <c r="O77" s="14">
        <v>18.38</v>
      </c>
      <c r="P77" s="18">
        <f t="shared" si="5"/>
        <v>50.5</v>
      </c>
      <c r="Q77" s="14">
        <v>445</v>
      </c>
      <c r="R77" s="19">
        <f t="shared" si="6"/>
        <v>22472.5</v>
      </c>
      <c r="S77" s="14"/>
      <c r="T77" s="15"/>
      <c r="V77" s="15" t="s">
        <v>24</v>
      </c>
      <c r="W77" s="14">
        <v>145</v>
      </c>
      <c r="X77" s="45">
        <f t="shared" si="7"/>
        <v>7322.5</v>
      </c>
      <c r="Y77" s="15">
        <v>260</v>
      </c>
      <c r="Z77" s="15">
        <f t="shared" si="8"/>
        <v>13130</v>
      </c>
      <c r="AA77" s="15">
        <f t="shared" si="9"/>
        <v>42925</v>
      </c>
    </row>
    <row r="78" spans="1:27" s="27" customFormat="1">
      <c r="A78" s="32">
        <v>75</v>
      </c>
      <c r="B78" s="13">
        <v>45934</v>
      </c>
      <c r="C78" s="13">
        <v>45934</v>
      </c>
      <c r="D78" s="63">
        <v>251004055</v>
      </c>
      <c r="E78" s="14" t="s">
        <v>237</v>
      </c>
      <c r="F78" s="14" t="s">
        <v>238</v>
      </c>
      <c r="G78" s="14">
        <v>20</v>
      </c>
      <c r="H78" s="57">
        <v>115</v>
      </c>
      <c r="I78" s="36" t="s">
        <v>46</v>
      </c>
      <c r="J78" s="42" t="s">
        <v>23</v>
      </c>
      <c r="K78" s="43" t="s">
        <v>38</v>
      </c>
      <c r="L78" s="14" t="s">
        <v>125</v>
      </c>
      <c r="M78" s="14" t="s">
        <v>55</v>
      </c>
      <c r="N78" s="14">
        <v>60.04</v>
      </c>
      <c r="O78" s="14">
        <v>15.72</v>
      </c>
      <c r="P78" s="18">
        <f t="shared" si="5"/>
        <v>44.32</v>
      </c>
      <c r="Q78" s="14">
        <v>445</v>
      </c>
      <c r="R78" s="19">
        <f t="shared" si="6"/>
        <v>19722.400000000001</v>
      </c>
      <c r="S78" s="14"/>
      <c r="T78" s="15"/>
      <c r="V78" s="15" t="s">
        <v>24</v>
      </c>
      <c r="W78" s="14">
        <v>145</v>
      </c>
      <c r="X78" s="45">
        <f t="shared" si="7"/>
        <v>6426.4</v>
      </c>
      <c r="Y78" s="15">
        <v>260</v>
      </c>
      <c r="Z78" s="15">
        <f t="shared" si="8"/>
        <v>11523.2</v>
      </c>
      <c r="AA78" s="15">
        <f t="shared" si="9"/>
        <v>37672</v>
      </c>
    </row>
    <row r="79" spans="1:27" s="27" customFormat="1">
      <c r="A79" s="32">
        <v>76</v>
      </c>
      <c r="B79" s="13">
        <v>45934</v>
      </c>
      <c r="C79" s="13">
        <v>45934</v>
      </c>
      <c r="D79" s="63">
        <v>251004056</v>
      </c>
      <c r="E79" s="14" t="s">
        <v>239</v>
      </c>
      <c r="F79" s="14" t="s">
        <v>240</v>
      </c>
      <c r="G79" s="14">
        <v>20</v>
      </c>
      <c r="H79" s="57">
        <v>115</v>
      </c>
      <c r="I79" s="36" t="s">
        <v>46</v>
      </c>
      <c r="J79" s="42" t="s">
        <v>23</v>
      </c>
      <c r="K79" s="43" t="s">
        <v>38</v>
      </c>
      <c r="L79" s="14" t="s">
        <v>241</v>
      </c>
      <c r="M79" s="14" t="s">
        <v>48</v>
      </c>
      <c r="N79" s="14">
        <v>44.78</v>
      </c>
      <c r="O79" s="14">
        <v>11.68</v>
      </c>
      <c r="P79" s="18">
        <f t="shared" si="5"/>
        <v>33.1</v>
      </c>
      <c r="Q79" s="14">
        <v>545</v>
      </c>
      <c r="R79" s="19">
        <f t="shared" si="6"/>
        <v>18039.5</v>
      </c>
      <c r="S79" s="14"/>
      <c r="T79" s="15"/>
      <c r="V79" s="15" t="s">
        <v>24</v>
      </c>
      <c r="W79" s="16">
        <v>145</v>
      </c>
      <c r="X79" s="37">
        <f t="shared" si="7"/>
        <v>4799.5</v>
      </c>
      <c r="Y79" s="25">
        <v>260</v>
      </c>
      <c r="Z79" s="15">
        <f t="shared" si="8"/>
        <v>8606</v>
      </c>
      <c r="AA79" s="15">
        <f t="shared" si="9"/>
        <v>31445</v>
      </c>
    </row>
    <row r="80" spans="1:27" s="27" customFormat="1">
      <c r="A80" s="32">
        <v>77</v>
      </c>
      <c r="B80" s="13">
        <v>45934</v>
      </c>
      <c r="C80" s="13">
        <v>45934</v>
      </c>
      <c r="D80" s="63">
        <v>251004057</v>
      </c>
      <c r="E80" s="14" t="s">
        <v>242</v>
      </c>
      <c r="F80" s="14" t="s">
        <v>243</v>
      </c>
      <c r="G80" s="14">
        <v>20</v>
      </c>
      <c r="H80" s="57">
        <v>115</v>
      </c>
      <c r="I80" s="36" t="s">
        <v>46</v>
      </c>
      <c r="J80" s="42" t="s">
        <v>23</v>
      </c>
      <c r="K80" s="43" t="s">
        <v>38</v>
      </c>
      <c r="L80" s="14" t="s">
        <v>244</v>
      </c>
      <c r="M80" s="14" t="s">
        <v>48</v>
      </c>
      <c r="N80" s="44">
        <v>46.2</v>
      </c>
      <c r="O80" s="14">
        <v>11.84</v>
      </c>
      <c r="P80" s="18">
        <f t="shared" si="5"/>
        <v>34.36</v>
      </c>
      <c r="Q80" s="14">
        <v>545</v>
      </c>
      <c r="R80" s="19">
        <f t="shared" si="6"/>
        <v>18726.2</v>
      </c>
      <c r="S80" s="14"/>
      <c r="T80" s="15"/>
      <c r="V80" s="15" t="s">
        <v>24</v>
      </c>
      <c r="W80" s="16">
        <v>145</v>
      </c>
      <c r="X80" s="37">
        <f t="shared" si="7"/>
        <v>4982.2</v>
      </c>
      <c r="Y80" s="25">
        <v>260</v>
      </c>
      <c r="Z80" s="15">
        <f t="shared" si="8"/>
        <v>8933.6</v>
      </c>
      <c r="AA80" s="15">
        <f t="shared" si="9"/>
        <v>32642</v>
      </c>
    </row>
    <row r="81" spans="1:27" s="27" customFormat="1">
      <c r="A81" s="32">
        <v>78</v>
      </c>
      <c r="B81" s="13">
        <v>45934</v>
      </c>
      <c r="C81" s="13">
        <v>45934</v>
      </c>
      <c r="D81" s="63">
        <v>251004058</v>
      </c>
      <c r="E81" s="14" t="s">
        <v>245</v>
      </c>
      <c r="F81" s="14" t="s">
        <v>246</v>
      </c>
      <c r="G81" s="14">
        <v>20</v>
      </c>
      <c r="H81" s="55">
        <v>24</v>
      </c>
      <c r="I81" s="36" t="s">
        <v>37</v>
      </c>
      <c r="J81" s="35" t="s">
        <v>23</v>
      </c>
      <c r="K81" s="36" t="s">
        <v>38</v>
      </c>
      <c r="L81" s="14" t="s">
        <v>92</v>
      </c>
      <c r="M81" s="14" t="s">
        <v>55</v>
      </c>
      <c r="N81" s="14">
        <v>65.06</v>
      </c>
      <c r="O81" s="44">
        <v>15.8</v>
      </c>
      <c r="P81" s="18">
        <f t="shared" si="5"/>
        <v>49.260000000000005</v>
      </c>
      <c r="Q81" s="14">
        <v>445</v>
      </c>
      <c r="R81" s="19">
        <f t="shared" si="6"/>
        <v>21920.7</v>
      </c>
      <c r="S81" s="14"/>
      <c r="T81" s="15"/>
      <c r="V81" s="15" t="s">
        <v>24</v>
      </c>
      <c r="W81" s="16">
        <v>145</v>
      </c>
      <c r="X81" s="37">
        <f t="shared" si="7"/>
        <v>7142.7000000000007</v>
      </c>
      <c r="Y81" s="25">
        <v>260</v>
      </c>
      <c r="Z81" s="15">
        <f t="shared" si="8"/>
        <v>12807.600000000002</v>
      </c>
      <c r="AA81" s="15">
        <f t="shared" si="9"/>
        <v>41871</v>
      </c>
    </row>
    <row r="82" spans="1:27" s="27" customFormat="1">
      <c r="A82" s="32">
        <v>79</v>
      </c>
      <c r="B82" s="13">
        <v>45934</v>
      </c>
      <c r="C82" s="13">
        <v>45934</v>
      </c>
      <c r="D82" s="63">
        <v>251004059</v>
      </c>
      <c r="E82" s="14" t="s">
        <v>247</v>
      </c>
      <c r="F82" s="14" t="s">
        <v>248</v>
      </c>
      <c r="G82" s="14">
        <v>20</v>
      </c>
      <c r="H82" s="55">
        <v>24</v>
      </c>
      <c r="I82" s="36" t="s">
        <v>37</v>
      </c>
      <c r="J82" s="35" t="s">
        <v>23</v>
      </c>
      <c r="K82" s="36" t="s">
        <v>38</v>
      </c>
      <c r="L82" s="14" t="s">
        <v>67</v>
      </c>
      <c r="M82" s="14" t="s">
        <v>55</v>
      </c>
      <c r="N82" s="14">
        <v>63.48</v>
      </c>
      <c r="O82" s="14">
        <v>16.04</v>
      </c>
      <c r="P82" s="18">
        <f t="shared" si="5"/>
        <v>47.44</v>
      </c>
      <c r="Q82" s="14">
        <v>445</v>
      </c>
      <c r="R82" s="19">
        <f t="shared" si="6"/>
        <v>21110.799999999999</v>
      </c>
      <c r="S82" s="14"/>
      <c r="T82" s="15"/>
      <c r="V82" s="15" t="s">
        <v>24</v>
      </c>
      <c r="W82" s="16">
        <v>145</v>
      </c>
      <c r="X82" s="37">
        <f t="shared" si="7"/>
        <v>6878.7999999999993</v>
      </c>
      <c r="Y82" s="25">
        <v>260</v>
      </c>
      <c r="Z82" s="15">
        <f t="shared" si="8"/>
        <v>12334.4</v>
      </c>
      <c r="AA82" s="15">
        <f t="shared" si="9"/>
        <v>40324</v>
      </c>
    </row>
    <row r="83" spans="1:27" s="27" customFormat="1">
      <c r="A83" s="32">
        <v>80</v>
      </c>
      <c r="B83" s="13">
        <v>45934</v>
      </c>
      <c r="C83" s="13">
        <v>45934</v>
      </c>
      <c r="D83" s="63">
        <v>251004060</v>
      </c>
      <c r="E83" s="14" t="s">
        <v>249</v>
      </c>
      <c r="F83" s="14" t="s">
        <v>250</v>
      </c>
      <c r="G83" s="14">
        <v>20</v>
      </c>
      <c r="H83" s="55">
        <v>24</v>
      </c>
      <c r="I83" s="36" t="s">
        <v>37</v>
      </c>
      <c r="J83" s="35" t="s">
        <v>23</v>
      </c>
      <c r="K83" s="36" t="s">
        <v>38</v>
      </c>
      <c r="L83" s="14" t="s">
        <v>89</v>
      </c>
      <c r="M83" s="14" t="s">
        <v>55</v>
      </c>
      <c r="N83" s="44">
        <v>50.5</v>
      </c>
      <c r="O83" s="44">
        <v>11.8</v>
      </c>
      <c r="P83" s="18">
        <f t="shared" si="5"/>
        <v>38.700000000000003</v>
      </c>
      <c r="Q83" s="14">
        <v>445</v>
      </c>
      <c r="R83" s="19">
        <f t="shared" si="6"/>
        <v>17221.5</v>
      </c>
      <c r="S83" s="14"/>
      <c r="T83" s="15"/>
      <c r="V83" s="15" t="s">
        <v>24</v>
      </c>
      <c r="W83" s="16">
        <v>145</v>
      </c>
      <c r="X83" s="37">
        <f t="shared" si="7"/>
        <v>5611.5</v>
      </c>
      <c r="Y83" s="25">
        <v>260</v>
      </c>
      <c r="Z83" s="15">
        <f t="shared" si="8"/>
        <v>10062</v>
      </c>
      <c r="AA83" s="15">
        <f t="shared" si="9"/>
        <v>32895</v>
      </c>
    </row>
    <row r="84" spans="1:27" s="27" customFormat="1">
      <c r="A84" s="32">
        <v>81</v>
      </c>
      <c r="B84" s="13">
        <v>45934</v>
      </c>
      <c r="C84" s="13">
        <v>45934</v>
      </c>
      <c r="D84" s="56">
        <v>251005001</v>
      </c>
      <c r="E84" s="14" t="s">
        <v>251</v>
      </c>
      <c r="F84" s="14" t="s">
        <v>252</v>
      </c>
      <c r="G84" s="14">
        <v>20</v>
      </c>
      <c r="H84" s="55">
        <v>24</v>
      </c>
      <c r="I84" s="36" t="s">
        <v>37</v>
      </c>
      <c r="J84" s="35" t="s">
        <v>23</v>
      </c>
      <c r="K84" s="36" t="s">
        <v>38</v>
      </c>
      <c r="L84" s="14" t="s">
        <v>54</v>
      </c>
      <c r="M84" s="14" t="s">
        <v>55</v>
      </c>
      <c r="N84" s="14">
        <v>65.040000000000006</v>
      </c>
      <c r="O84" s="14">
        <v>16.78</v>
      </c>
      <c r="P84" s="18">
        <f t="shared" si="5"/>
        <v>48.260000000000005</v>
      </c>
      <c r="Q84" s="14">
        <v>445</v>
      </c>
      <c r="R84" s="19">
        <f t="shared" si="6"/>
        <v>21475.7</v>
      </c>
      <c r="S84" s="14"/>
      <c r="T84" s="15"/>
      <c r="V84" s="15" t="s">
        <v>24</v>
      </c>
      <c r="W84" s="16">
        <v>145</v>
      </c>
      <c r="X84" s="37">
        <f t="shared" si="7"/>
        <v>6997.7000000000007</v>
      </c>
      <c r="Y84" s="25">
        <v>260</v>
      </c>
      <c r="Z84" s="15">
        <f t="shared" si="8"/>
        <v>12547.600000000002</v>
      </c>
      <c r="AA84" s="15">
        <f t="shared" si="9"/>
        <v>41021</v>
      </c>
    </row>
    <row r="85" spans="1:27" s="27" customFormat="1">
      <c r="A85" s="32">
        <v>82</v>
      </c>
      <c r="B85" s="13">
        <v>45934</v>
      </c>
      <c r="C85" s="13">
        <v>45934</v>
      </c>
      <c r="D85" s="56">
        <v>251005002</v>
      </c>
      <c r="E85" s="14" t="s">
        <v>253</v>
      </c>
      <c r="F85" s="14" t="s">
        <v>254</v>
      </c>
      <c r="G85" s="14">
        <v>20</v>
      </c>
      <c r="H85" s="55">
        <v>24</v>
      </c>
      <c r="I85" s="36" t="s">
        <v>37</v>
      </c>
      <c r="J85" s="35" t="s">
        <v>23</v>
      </c>
      <c r="K85" s="36" t="s">
        <v>38</v>
      </c>
      <c r="L85" s="14" t="s">
        <v>51</v>
      </c>
      <c r="M85" s="14" t="s">
        <v>55</v>
      </c>
      <c r="N85" s="14">
        <v>60.12</v>
      </c>
      <c r="O85" s="14">
        <v>15.32</v>
      </c>
      <c r="P85" s="18">
        <f t="shared" si="5"/>
        <v>44.8</v>
      </c>
      <c r="Q85" s="14">
        <v>445</v>
      </c>
      <c r="R85" s="19">
        <f t="shared" si="6"/>
        <v>19936</v>
      </c>
      <c r="S85" s="14"/>
      <c r="T85" s="15"/>
      <c r="V85" s="15" t="s">
        <v>24</v>
      </c>
      <c r="W85" s="16">
        <v>145</v>
      </c>
      <c r="X85" s="37">
        <f t="shared" si="7"/>
        <v>6496</v>
      </c>
      <c r="Y85" s="25">
        <v>260</v>
      </c>
      <c r="Z85" s="15">
        <f t="shared" si="8"/>
        <v>11648</v>
      </c>
      <c r="AA85" s="15">
        <f t="shared" si="9"/>
        <v>38080</v>
      </c>
    </row>
    <row r="86" spans="1:27" s="27" customFormat="1">
      <c r="A86" s="32">
        <v>83</v>
      </c>
      <c r="B86" s="13">
        <v>45934</v>
      </c>
      <c r="C86" s="13">
        <v>45934</v>
      </c>
      <c r="D86" s="56" t="s">
        <v>255</v>
      </c>
      <c r="E86" s="16"/>
      <c r="F86" s="16"/>
      <c r="G86" s="14"/>
      <c r="H86" s="61">
        <v>285</v>
      </c>
      <c r="I86" s="62" t="s">
        <v>215</v>
      </c>
      <c r="J86" s="42" t="s">
        <v>23</v>
      </c>
      <c r="K86" s="36" t="s">
        <v>38</v>
      </c>
      <c r="L86" s="14" t="s">
        <v>216</v>
      </c>
      <c r="M86" s="14" t="s">
        <v>48</v>
      </c>
      <c r="N86" s="14">
        <v>43.52</v>
      </c>
      <c r="O86" s="14">
        <v>12.08</v>
      </c>
      <c r="P86" s="18">
        <f t="shared" si="5"/>
        <v>31.440000000000005</v>
      </c>
      <c r="Q86" s="14">
        <v>520</v>
      </c>
      <c r="R86" s="19">
        <f t="shared" si="6"/>
        <v>16348.800000000003</v>
      </c>
      <c r="S86" s="14"/>
      <c r="T86" s="15"/>
      <c r="V86" s="15" t="s">
        <v>217</v>
      </c>
      <c r="W86" s="16"/>
      <c r="X86" s="37">
        <f t="shared" si="7"/>
        <v>0</v>
      </c>
      <c r="Y86" s="25"/>
      <c r="Z86" s="15">
        <f t="shared" si="8"/>
        <v>0</v>
      </c>
      <c r="AA86" s="15">
        <f t="shared" si="9"/>
        <v>16348.800000000003</v>
      </c>
    </row>
    <row r="87" spans="1:27" s="27" customFormat="1">
      <c r="A87" s="32">
        <v>84</v>
      </c>
      <c r="B87" s="13">
        <v>45934</v>
      </c>
      <c r="C87" s="13">
        <v>45934</v>
      </c>
      <c r="D87" s="56">
        <v>251005003</v>
      </c>
      <c r="E87" s="14" t="s">
        <v>256</v>
      </c>
      <c r="F87" s="14" t="s">
        <v>257</v>
      </c>
      <c r="G87" s="14">
        <v>20</v>
      </c>
      <c r="H87" s="57">
        <v>115</v>
      </c>
      <c r="I87" s="36" t="s">
        <v>46</v>
      </c>
      <c r="J87" s="42" t="s">
        <v>23</v>
      </c>
      <c r="K87" s="43" t="s">
        <v>38</v>
      </c>
      <c r="L87" s="14" t="s">
        <v>61</v>
      </c>
      <c r="M87" s="14" t="s">
        <v>40</v>
      </c>
      <c r="N87" s="14">
        <v>58.04</v>
      </c>
      <c r="O87" s="14">
        <v>15.74</v>
      </c>
      <c r="P87" s="18">
        <f t="shared" si="5"/>
        <v>42.3</v>
      </c>
      <c r="Q87" s="14">
        <v>315</v>
      </c>
      <c r="R87" s="19">
        <f t="shared" si="6"/>
        <v>13324.5</v>
      </c>
      <c r="S87" s="14"/>
      <c r="T87" s="15"/>
      <c r="V87" s="15" t="s">
        <v>24</v>
      </c>
      <c r="W87" s="16">
        <v>145</v>
      </c>
      <c r="X87" s="37">
        <f t="shared" si="7"/>
        <v>6133.5</v>
      </c>
      <c r="Y87" s="25">
        <v>260</v>
      </c>
      <c r="Z87" s="15">
        <f t="shared" si="8"/>
        <v>10998</v>
      </c>
      <c r="AA87" s="15">
        <f t="shared" si="9"/>
        <v>30456</v>
      </c>
    </row>
    <row r="88" spans="1:27" s="27" customFormat="1">
      <c r="A88" s="32">
        <v>85</v>
      </c>
      <c r="B88" s="13">
        <v>45934</v>
      </c>
      <c r="C88" s="13">
        <v>45934</v>
      </c>
      <c r="D88" s="56">
        <v>251005004</v>
      </c>
      <c r="E88" s="14" t="s">
        <v>258</v>
      </c>
      <c r="F88" s="14" t="s">
        <v>259</v>
      </c>
      <c r="G88" s="14">
        <v>20</v>
      </c>
      <c r="H88" s="57">
        <v>115</v>
      </c>
      <c r="I88" s="36" t="s">
        <v>46</v>
      </c>
      <c r="J88" s="42" t="s">
        <v>23</v>
      </c>
      <c r="K88" s="43" t="s">
        <v>38</v>
      </c>
      <c r="L88" s="14" t="s">
        <v>39</v>
      </c>
      <c r="M88" s="14" t="s">
        <v>40</v>
      </c>
      <c r="N88" s="14">
        <v>42.02</v>
      </c>
      <c r="O88" s="14">
        <v>10.54</v>
      </c>
      <c r="P88" s="18">
        <f t="shared" si="5"/>
        <v>31.480000000000004</v>
      </c>
      <c r="Q88" s="14">
        <v>315</v>
      </c>
      <c r="R88" s="19">
        <f t="shared" si="6"/>
        <v>9916.2000000000007</v>
      </c>
      <c r="S88" s="14"/>
      <c r="T88" s="15"/>
      <c r="V88" s="15" t="s">
        <v>24</v>
      </c>
      <c r="W88" s="16">
        <v>145</v>
      </c>
      <c r="X88" s="37">
        <f t="shared" si="7"/>
        <v>4564.6000000000004</v>
      </c>
      <c r="Y88" s="25">
        <v>260</v>
      </c>
      <c r="Z88" s="15">
        <f t="shared" si="8"/>
        <v>8184.8000000000011</v>
      </c>
      <c r="AA88" s="15">
        <f t="shared" si="9"/>
        <v>22665.600000000002</v>
      </c>
    </row>
    <row r="89" spans="1:27" s="27" customFormat="1">
      <c r="A89" s="32">
        <v>86</v>
      </c>
      <c r="B89" s="13">
        <v>45934</v>
      </c>
      <c r="C89" s="13">
        <v>45934</v>
      </c>
      <c r="D89" s="56">
        <v>251005005</v>
      </c>
      <c r="E89" s="14" t="s">
        <v>260</v>
      </c>
      <c r="F89" s="14" t="s">
        <v>261</v>
      </c>
      <c r="G89" s="14">
        <v>20</v>
      </c>
      <c r="H89" s="57">
        <v>115</v>
      </c>
      <c r="I89" s="36" t="s">
        <v>46</v>
      </c>
      <c r="J89" s="42" t="s">
        <v>23</v>
      </c>
      <c r="K89" s="43" t="s">
        <v>38</v>
      </c>
      <c r="L89" s="14" t="s">
        <v>95</v>
      </c>
      <c r="M89" s="14" t="s">
        <v>48</v>
      </c>
      <c r="N89" s="14">
        <v>49.98</v>
      </c>
      <c r="O89" s="14">
        <v>12.32</v>
      </c>
      <c r="P89" s="18">
        <f t="shared" si="5"/>
        <v>37.659999999999997</v>
      </c>
      <c r="Q89" s="14">
        <v>545</v>
      </c>
      <c r="R89" s="19">
        <f t="shared" si="6"/>
        <v>20524.699999999997</v>
      </c>
      <c r="S89" s="14"/>
      <c r="T89" s="15"/>
      <c r="V89" s="15" t="s">
        <v>24</v>
      </c>
      <c r="W89" s="16">
        <v>145</v>
      </c>
      <c r="X89" s="37">
        <f t="shared" si="7"/>
        <v>5460.7</v>
      </c>
      <c r="Y89" s="25">
        <v>260</v>
      </c>
      <c r="Z89" s="15">
        <f t="shared" si="8"/>
        <v>9791.5999999999985</v>
      </c>
      <c r="AA89" s="15">
        <f t="shared" si="9"/>
        <v>35777</v>
      </c>
    </row>
    <row r="90" spans="1:27" s="27" customFormat="1">
      <c r="A90" s="32">
        <v>87</v>
      </c>
      <c r="B90" s="13">
        <v>45934</v>
      </c>
      <c r="C90" s="13">
        <v>45934</v>
      </c>
      <c r="D90" s="56">
        <v>251005006</v>
      </c>
      <c r="E90" s="14" t="s">
        <v>262</v>
      </c>
      <c r="F90" s="14" t="s">
        <v>263</v>
      </c>
      <c r="G90" s="14">
        <v>20</v>
      </c>
      <c r="H90" s="57">
        <v>115</v>
      </c>
      <c r="I90" s="36" t="s">
        <v>46</v>
      </c>
      <c r="J90" s="42" t="s">
        <v>23</v>
      </c>
      <c r="K90" s="43" t="s">
        <v>38</v>
      </c>
      <c r="L90" s="14" t="s">
        <v>182</v>
      </c>
      <c r="M90" s="14" t="s">
        <v>48</v>
      </c>
      <c r="N90" s="44">
        <v>57.3</v>
      </c>
      <c r="O90" s="44">
        <v>15.2</v>
      </c>
      <c r="P90" s="18">
        <f t="shared" si="5"/>
        <v>42.099999999999994</v>
      </c>
      <c r="Q90" s="14">
        <v>545</v>
      </c>
      <c r="R90" s="19">
        <f t="shared" si="6"/>
        <v>22944.499999999996</v>
      </c>
      <c r="S90" s="14"/>
      <c r="T90" s="15"/>
      <c r="V90" s="15" t="s">
        <v>24</v>
      </c>
      <c r="W90" s="16">
        <v>145</v>
      </c>
      <c r="X90" s="37">
        <f t="shared" si="7"/>
        <v>6104.4999999999991</v>
      </c>
      <c r="Y90" s="25">
        <v>260</v>
      </c>
      <c r="Z90" s="15">
        <f t="shared" si="8"/>
        <v>10945.999999999998</v>
      </c>
      <c r="AA90" s="15">
        <f t="shared" si="9"/>
        <v>39994.999999999993</v>
      </c>
    </row>
    <row r="91" spans="1:27" s="27" customFormat="1">
      <c r="A91" s="32">
        <v>88</v>
      </c>
      <c r="B91" s="13">
        <v>45934</v>
      </c>
      <c r="C91" s="13">
        <v>45934</v>
      </c>
      <c r="D91" s="56">
        <v>251005008</v>
      </c>
      <c r="E91" s="14" t="s">
        <v>264</v>
      </c>
      <c r="F91" s="14" t="s">
        <v>265</v>
      </c>
      <c r="G91" s="14">
        <v>20</v>
      </c>
      <c r="H91" s="57">
        <v>115</v>
      </c>
      <c r="I91" s="36" t="s">
        <v>46</v>
      </c>
      <c r="J91" s="42" t="s">
        <v>23</v>
      </c>
      <c r="K91" s="43" t="s">
        <v>38</v>
      </c>
      <c r="L91" s="14" t="s">
        <v>64</v>
      </c>
      <c r="M91" s="14" t="s">
        <v>48</v>
      </c>
      <c r="N91" s="14">
        <v>63.68</v>
      </c>
      <c r="O91" s="14">
        <v>16.32</v>
      </c>
      <c r="P91" s="18">
        <f t="shared" si="5"/>
        <v>47.36</v>
      </c>
      <c r="Q91" s="14">
        <v>545</v>
      </c>
      <c r="R91" s="19">
        <f t="shared" si="6"/>
        <v>25811.200000000001</v>
      </c>
      <c r="S91" s="14"/>
      <c r="T91" s="15"/>
      <c r="V91" s="15" t="s">
        <v>24</v>
      </c>
      <c r="W91" s="16">
        <v>145</v>
      </c>
      <c r="X91" s="37">
        <f t="shared" si="7"/>
        <v>6867.2</v>
      </c>
      <c r="Y91" s="25">
        <v>260</v>
      </c>
      <c r="Z91" s="15">
        <f t="shared" si="8"/>
        <v>12313.6</v>
      </c>
      <c r="AA91" s="15">
        <f t="shared" si="9"/>
        <v>44992</v>
      </c>
    </row>
    <row r="92" spans="1:27" s="27" customFormat="1">
      <c r="A92" s="32">
        <v>89</v>
      </c>
      <c r="B92" s="13">
        <v>45934</v>
      </c>
      <c r="C92" s="13">
        <v>45934</v>
      </c>
      <c r="D92" s="56">
        <v>251005007</v>
      </c>
      <c r="E92" s="14"/>
      <c r="F92" s="14"/>
      <c r="G92" s="14"/>
      <c r="H92" s="61">
        <v>221</v>
      </c>
      <c r="I92" s="64" t="s">
        <v>266</v>
      </c>
      <c r="J92" s="42" t="s">
        <v>23</v>
      </c>
      <c r="K92" s="36" t="s">
        <v>38</v>
      </c>
      <c r="L92" s="14" t="s">
        <v>267</v>
      </c>
      <c r="M92" s="14" t="s">
        <v>48</v>
      </c>
      <c r="N92" s="14">
        <v>60.8</v>
      </c>
      <c r="O92" s="14">
        <v>16</v>
      </c>
      <c r="P92" s="18">
        <f t="shared" si="5"/>
        <v>44.8</v>
      </c>
      <c r="Q92" s="14">
        <v>520</v>
      </c>
      <c r="R92" s="19">
        <f t="shared" si="6"/>
        <v>23296</v>
      </c>
      <c r="S92" s="14"/>
      <c r="T92" s="15"/>
      <c r="V92" s="15" t="s">
        <v>268</v>
      </c>
      <c r="W92" s="16"/>
      <c r="X92" s="37">
        <f t="shared" si="7"/>
        <v>0</v>
      </c>
      <c r="Y92" s="25"/>
      <c r="Z92" s="15">
        <f t="shared" si="8"/>
        <v>0</v>
      </c>
      <c r="AA92" s="15">
        <f t="shared" si="9"/>
        <v>23296</v>
      </c>
    </row>
    <row r="93" spans="1:27" s="27" customFormat="1">
      <c r="A93" s="32">
        <v>90</v>
      </c>
      <c r="B93" s="13">
        <v>45934</v>
      </c>
      <c r="C93" s="13">
        <v>45934</v>
      </c>
      <c r="D93" s="56" t="s">
        <v>269</v>
      </c>
      <c r="E93" s="14"/>
      <c r="F93" s="14"/>
      <c r="G93" s="14"/>
      <c r="H93" s="12"/>
      <c r="I93" s="12" t="s">
        <v>270</v>
      </c>
      <c r="J93" s="42" t="s">
        <v>23</v>
      </c>
      <c r="K93" s="36" t="s">
        <v>38</v>
      </c>
      <c r="L93" s="14" t="s">
        <v>271</v>
      </c>
      <c r="M93" s="14" t="s">
        <v>272</v>
      </c>
      <c r="N93" s="14">
        <v>18.64</v>
      </c>
      <c r="O93" s="14">
        <v>7.32</v>
      </c>
      <c r="P93" s="18">
        <f t="shared" si="5"/>
        <v>11.32</v>
      </c>
      <c r="Q93" s="14">
        <v>250</v>
      </c>
      <c r="R93" s="19">
        <f t="shared" si="6"/>
        <v>2830</v>
      </c>
      <c r="S93" s="14"/>
      <c r="T93" s="15"/>
      <c r="V93" s="15" t="s">
        <v>268</v>
      </c>
      <c r="W93" s="16"/>
      <c r="X93" s="25">
        <f t="shared" si="7"/>
        <v>0</v>
      </c>
      <c r="Y93" s="25"/>
      <c r="Z93" s="15">
        <f t="shared" si="8"/>
        <v>0</v>
      </c>
      <c r="AA93" s="15">
        <f t="shared" si="9"/>
        <v>2830</v>
      </c>
    </row>
    <row r="94" spans="1:27" s="27" customFormat="1">
      <c r="A94" s="32">
        <v>91</v>
      </c>
      <c r="B94" s="13">
        <v>45935</v>
      </c>
      <c r="C94" s="13">
        <v>45935</v>
      </c>
      <c r="D94" s="65" t="s">
        <v>273</v>
      </c>
      <c r="E94" s="14"/>
      <c r="F94" s="14"/>
      <c r="G94" s="14"/>
      <c r="H94" s="66"/>
      <c r="I94" s="12" t="s">
        <v>274</v>
      </c>
      <c r="J94" s="26" t="s">
        <v>23</v>
      </c>
      <c r="K94" s="12" t="s">
        <v>30</v>
      </c>
      <c r="L94" s="56" t="s">
        <v>275</v>
      </c>
      <c r="M94" s="14" t="s">
        <v>31</v>
      </c>
      <c r="N94" s="14">
        <v>9.36</v>
      </c>
      <c r="O94" s="14">
        <v>3.52</v>
      </c>
      <c r="P94" s="18">
        <f t="shared" si="5"/>
        <v>5.84</v>
      </c>
      <c r="Q94" s="14">
        <v>150</v>
      </c>
      <c r="R94" s="19">
        <f t="shared" si="6"/>
        <v>876</v>
      </c>
      <c r="S94" s="14">
        <v>876</v>
      </c>
      <c r="T94" s="15"/>
      <c r="V94" s="15" t="s">
        <v>24</v>
      </c>
      <c r="W94" s="16"/>
      <c r="X94" s="37">
        <f t="shared" si="7"/>
        <v>0</v>
      </c>
      <c r="Y94" s="25"/>
      <c r="Z94" s="15">
        <f t="shared" si="8"/>
        <v>0</v>
      </c>
      <c r="AA94" s="15">
        <f t="shared" si="9"/>
        <v>876</v>
      </c>
    </row>
    <row r="95" spans="1:27" s="27" customFormat="1" ht="15.75">
      <c r="A95" s="32">
        <v>92</v>
      </c>
      <c r="B95" s="13">
        <v>45935</v>
      </c>
      <c r="C95" s="13">
        <v>45935</v>
      </c>
      <c r="D95" s="67">
        <v>251005009</v>
      </c>
      <c r="E95" s="14" t="s">
        <v>276</v>
      </c>
      <c r="F95" s="14" t="s">
        <v>277</v>
      </c>
      <c r="G95" s="14">
        <v>25</v>
      </c>
      <c r="H95" s="41">
        <v>115</v>
      </c>
      <c r="I95" s="36" t="s">
        <v>46</v>
      </c>
      <c r="J95" s="42" t="s">
        <v>23</v>
      </c>
      <c r="K95" s="43" t="s">
        <v>38</v>
      </c>
      <c r="L95" s="14" t="s">
        <v>39</v>
      </c>
      <c r="M95" s="14" t="s">
        <v>40</v>
      </c>
      <c r="N95" s="14">
        <v>43.34</v>
      </c>
      <c r="O95" s="14">
        <v>10.62</v>
      </c>
      <c r="P95" s="18">
        <f t="shared" si="5"/>
        <v>32.720000000000006</v>
      </c>
      <c r="Q95" s="14">
        <v>315</v>
      </c>
      <c r="R95" s="19">
        <f t="shared" si="6"/>
        <v>10306.800000000001</v>
      </c>
      <c r="S95" s="16"/>
      <c r="T95" s="15"/>
      <c r="V95" s="15" t="s">
        <v>24</v>
      </c>
      <c r="W95" s="16">
        <v>145</v>
      </c>
      <c r="X95" s="37">
        <f t="shared" si="7"/>
        <v>4744.4000000000005</v>
      </c>
      <c r="Y95" s="25">
        <v>260</v>
      </c>
      <c r="Z95" s="15">
        <f t="shared" si="8"/>
        <v>8507.2000000000007</v>
      </c>
      <c r="AA95" s="15">
        <f t="shared" si="9"/>
        <v>23558.400000000001</v>
      </c>
    </row>
    <row r="96" spans="1:27" s="40" customFormat="1" ht="15.75">
      <c r="A96" s="32">
        <v>93</v>
      </c>
      <c r="B96" s="13">
        <v>45935</v>
      </c>
      <c r="C96" s="13">
        <v>45935</v>
      </c>
      <c r="D96" s="68">
        <v>251005010</v>
      </c>
      <c r="E96" s="14" t="s">
        <v>278</v>
      </c>
      <c r="F96" s="14" t="s">
        <v>279</v>
      </c>
      <c r="G96" s="14">
        <v>25</v>
      </c>
      <c r="H96" s="41">
        <v>115</v>
      </c>
      <c r="I96" s="36" t="s">
        <v>46</v>
      </c>
      <c r="J96" s="42" t="s">
        <v>23</v>
      </c>
      <c r="K96" s="43" t="s">
        <v>38</v>
      </c>
      <c r="L96" s="14" t="s">
        <v>70</v>
      </c>
      <c r="M96" s="14" t="s">
        <v>55</v>
      </c>
      <c r="N96" s="14">
        <v>56.4</v>
      </c>
      <c r="O96" s="14">
        <v>12.22</v>
      </c>
      <c r="P96" s="18">
        <f t="shared" si="5"/>
        <v>44.18</v>
      </c>
      <c r="Q96" s="14">
        <v>445</v>
      </c>
      <c r="R96" s="19">
        <f t="shared" si="6"/>
        <v>19660.099999999999</v>
      </c>
      <c r="S96" s="16"/>
      <c r="T96" s="15"/>
      <c r="V96" s="15" t="s">
        <v>24</v>
      </c>
      <c r="W96" s="16">
        <v>145</v>
      </c>
      <c r="X96" s="37">
        <f t="shared" si="7"/>
        <v>6406.1</v>
      </c>
      <c r="Y96" s="25">
        <v>260</v>
      </c>
      <c r="Z96" s="15">
        <f t="shared" si="8"/>
        <v>11486.8</v>
      </c>
      <c r="AA96" s="15">
        <f t="shared" si="9"/>
        <v>37553</v>
      </c>
    </row>
    <row r="97" spans="1:38" s="27" customFormat="1" ht="15.75">
      <c r="A97" s="32">
        <v>94</v>
      </c>
      <c r="B97" s="13">
        <v>45935</v>
      </c>
      <c r="C97" s="13">
        <v>45935</v>
      </c>
      <c r="D97" s="68">
        <v>251005011</v>
      </c>
      <c r="E97" s="14" t="s">
        <v>280</v>
      </c>
      <c r="F97" s="14" t="s">
        <v>281</v>
      </c>
      <c r="G97" s="14">
        <v>25</v>
      </c>
      <c r="H97" s="41">
        <v>115</v>
      </c>
      <c r="I97" s="36" t="s">
        <v>46</v>
      </c>
      <c r="J97" s="42" t="s">
        <v>23</v>
      </c>
      <c r="K97" s="43" t="s">
        <v>38</v>
      </c>
      <c r="L97" s="14" t="s">
        <v>101</v>
      </c>
      <c r="M97" s="14" t="s">
        <v>55</v>
      </c>
      <c r="N97" s="14">
        <v>50.84</v>
      </c>
      <c r="O97" s="14">
        <v>11.52</v>
      </c>
      <c r="P97" s="18">
        <f t="shared" si="5"/>
        <v>39.320000000000007</v>
      </c>
      <c r="Q97" s="14">
        <v>445</v>
      </c>
      <c r="R97" s="19">
        <f t="shared" si="6"/>
        <v>17497.400000000005</v>
      </c>
      <c r="S97" s="25"/>
      <c r="T97" s="15"/>
      <c r="V97" s="15" t="s">
        <v>24</v>
      </c>
      <c r="W97" s="16">
        <v>145</v>
      </c>
      <c r="X97" s="37">
        <f t="shared" si="7"/>
        <v>5701.4000000000015</v>
      </c>
      <c r="Y97" s="25">
        <v>260</v>
      </c>
      <c r="Z97" s="15">
        <f t="shared" si="8"/>
        <v>10223.200000000003</v>
      </c>
      <c r="AA97" s="15">
        <f t="shared" si="9"/>
        <v>33422.000000000007</v>
      </c>
    </row>
    <row r="98" spans="1:38" s="27" customFormat="1" ht="15.75">
      <c r="A98" s="32">
        <v>95</v>
      </c>
      <c r="B98" s="13">
        <v>45935</v>
      </c>
      <c r="C98" s="13">
        <v>45935</v>
      </c>
      <c r="D98" s="68">
        <v>251005012</v>
      </c>
      <c r="E98" s="14" t="s">
        <v>282</v>
      </c>
      <c r="F98" s="14" t="s">
        <v>283</v>
      </c>
      <c r="G98" s="14">
        <v>25</v>
      </c>
      <c r="H98" s="41">
        <v>115</v>
      </c>
      <c r="I98" s="36" t="s">
        <v>46</v>
      </c>
      <c r="J98" s="42" t="s">
        <v>23</v>
      </c>
      <c r="K98" s="43" t="s">
        <v>38</v>
      </c>
      <c r="L98" s="14" t="s">
        <v>142</v>
      </c>
      <c r="M98" s="14" t="s">
        <v>48</v>
      </c>
      <c r="N98" s="44">
        <v>46.16</v>
      </c>
      <c r="O98" s="14">
        <v>11.88</v>
      </c>
      <c r="P98" s="18">
        <f t="shared" si="5"/>
        <v>34.279999999999994</v>
      </c>
      <c r="Q98" s="14">
        <v>545</v>
      </c>
      <c r="R98" s="19">
        <f t="shared" si="6"/>
        <v>18682.599999999999</v>
      </c>
      <c r="S98" s="14"/>
      <c r="T98" s="15"/>
      <c r="V98" s="15" t="s">
        <v>24</v>
      </c>
      <c r="W98" s="16">
        <v>145</v>
      </c>
      <c r="X98" s="37">
        <f t="shared" si="7"/>
        <v>4970.5999999999995</v>
      </c>
      <c r="Y98" s="25">
        <v>260</v>
      </c>
      <c r="Z98" s="15">
        <f t="shared" si="8"/>
        <v>8912.7999999999993</v>
      </c>
      <c r="AA98" s="15">
        <f t="shared" si="9"/>
        <v>32565.999999999996</v>
      </c>
    </row>
    <row r="99" spans="1:38" s="27" customFormat="1" ht="15.75">
      <c r="A99" s="32">
        <v>96</v>
      </c>
      <c r="B99" s="13">
        <v>45935</v>
      </c>
      <c r="C99" s="13">
        <v>45935</v>
      </c>
      <c r="D99" s="68">
        <v>251005013</v>
      </c>
      <c r="E99" s="14" t="s">
        <v>284</v>
      </c>
      <c r="F99" s="14" t="s">
        <v>285</v>
      </c>
      <c r="G99" s="14">
        <v>25</v>
      </c>
      <c r="H99" s="41">
        <v>115</v>
      </c>
      <c r="I99" s="36" t="s">
        <v>46</v>
      </c>
      <c r="J99" s="42" t="s">
        <v>23</v>
      </c>
      <c r="K99" s="43" t="s">
        <v>38</v>
      </c>
      <c r="L99" s="14" t="s">
        <v>58</v>
      </c>
      <c r="M99" s="14" t="s">
        <v>48</v>
      </c>
      <c r="N99" s="44">
        <v>65.02</v>
      </c>
      <c r="O99" s="44">
        <v>16.36</v>
      </c>
      <c r="P99" s="18">
        <f t="shared" si="5"/>
        <v>48.66</v>
      </c>
      <c r="Q99" s="14">
        <v>545</v>
      </c>
      <c r="R99" s="19">
        <f t="shared" si="6"/>
        <v>26519.699999999997</v>
      </c>
      <c r="S99" s="14"/>
      <c r="T99" s="15"/>
      <c r="V99" s="15" t="s">
        <v>24</v>
      </c>
      <c r="W99" s="16">
        <v>145</v>
      </c>
      <c r="X99" s="37">
        <f t="shared" si="7"/>
        <v>7055.7</v>
      </c>
      <c r="Y99" s="25">
        <v>260</v>
      </c>
      <c r="Z99" s="15">
        <f t="shared" si="8"/>
        <v>12651.599999999999</v>
      </c>
      <c r="AA99" s="15">
        <f t="shared" si="9"/>
        <v>46226.999999999993</v>
      </c>
    </row>
    <row r="100" spans="1:38" s="27" customFormat="1" ht="15.75">
      <c r="A100" s="32">
        <v>97</v>
      </c>
      <c r="B100" s="13">
        <v>45935</v>
      </c>
      <c r="C100" s="13">
        <v>45935</v>
      </c>
      <c r="D100" s="68">
        <v>251005014</v>
      </c>
      <c r="E100" s="14" t="s">
        <v>286</v>
      </c>
      <c r="F100" s="14" t="s">
        <v>287</v>
      </c>
      <c r="G100" s="14">
        <v>25</v>
      </c>
      <c r="H100" s="41">
        <v>115</v>
      </c>
      <c r="I100" s="36" t="s">
        <v>46</v>
      </c>
      <c r="J100" s="42" t="s">
        <v>23</v>
      </c>
      <c r="K100" s="43" t="s">
        <v>38</v>
      </c>
      <c r="L100" s="14" t="s">
        <v>119</v>
      </c>
      <c r="M100" s="14" t="s">
        <v>40</v>
      </c>
      <c r="N100" s="44">
        <v>63.98</v>
      </c>
      <c r="O100" s="44">
        <v>18.12</v>
      </c>
      <c r="P100" s="18">
        <f t="shared" si="5"/>
        <v>45.86</v>
      </c>
      <c r="Q100" s="14">
        <v>315</v>
      </c>
      <c r="R100" s="19">
        <f t="shared" si="6"/>
        <v>14445.9</v>
      </c>
      <c r="S100" s="14"/>
      <c r="T100" s="15"/>
      <c r="V100" s="15" t="s">
        <v>24</v>
      </c>
      <c r="W100" s="16">
        <v>145</v>
      </c>
      <c r="X100" s="37">
        <f t="shared" si="7"/>
        <v>6649.7</v>
      </c>
      <c r="Y100" s="25">
        <v>260</v>
      </c>
      <c r="Z100" s="15">
        <f t="shared" si="8"/>
        <v>11923.6</v>
      </c>
      <c r="AA100" s="15">
        <f t="shared" si="9"/>
        <v>33019.199999999997</v>
      </c>
    </row>
    <row r="101" spans="1:38" s="27" customFormat="1" ht="15.75">
      <c r="A101" s="32">
        <v>98</v>
      </c>
      <c r="B101" s="13">
        <v>45935</v>
      </c>
      <c r="C101" s="13">
        <v>45935</v>
      </c>
      <c r="D101" s="65" t="s">
        <v>288</v>
      </c>
      <c r="E101" s="14"/>
      <c r="F101" s="14"/>
      <c r="G101" s="14"/>
      <c r="H101" s="69">
        <v>285</v>
      </c>
      <c r="I101" s="70" t="s">
        <v>215</v>
      </c>
      <c r="J101" s="42" t="s">
        <v>23</v>
      </c>
      <c r="K101" s="36" t="s">
        <v>38</v>
      </c>
      <c r="L101" s="14" t="s">
        <v>190</v>
      </c>
      <c r="M101" s="14" t="s">
        <v>48</v>
      </c>
      <c r="N101" s="44">
        <v>42.36</v>
      </c>
      <c r="O101" s="44">
        <v>11.78</v>
      </c>
      <c r="P101" s="18">
        <f t="shared" si="5"/>
        <v>30.58</v>
      </c>
      <c r="Q101" s="14">
        <v>520</v>
      </c>
      <c r="R101" s="19">
        <f t="shared" si="6"/>
        <v>15901.599999999999</v>
      </c>
      <c r="S101" s="14"/>
      <c r="T101" s="15"/>
      <c r="V101" s="15" t="s">
        <v>217</v>
      </c>
      <c r="W101" s="16"/>
      <c r="X101" s="37">
        <f t="shared" si="7"/>
        <v>0</v>
      </c>
      <c r="Y101" s="25"/>
      <c r="Z101" s="15">
        <f t="shared" si="8"/>
        <v>0</v>
      </c>
      <c r="AA101" s="45">
        <f t="shared" si="9"/>
        <v>15901.599999999999</v>
      </c>
    </row>
    <row r="102" spans="1:38" s="27" customFormat="1" ht="17.100000000000001" customHeight="1">
      <c r="A102" s="32">
        <v>99</v>
      </c>
      <c r="B102" s="13">
        <v>45935</v>
      </c>
      <c r="C102" s="13">
        <v>45935</v>
      </c>
      <c r="D102" s="65" t="s">
        <v>289</v>
      </c>
      <c r="E102" s="14"/>
      <c r="F102" s="14"/>
      <c r="G102" s="14"/>
      <c r="H102" s="69">
        <v>285</v>
      </c>
      <c r="I102" s="70" t="s">
        <v>215</v>
      </c>
      <c r="J102" s="42" t="s">
        <v>23</v>
      </c>
      <c r="K102" s="36" t="s">
        <v>38</v>
      </c>
      <c r="L102" s="14" t="s">
        <v>149</v>
      </c>
      <c r="M102" s="14" t="s">
        <v>48</v>
      </c>
      <c r="N102" s="44">
        <v>46.34</v>
      </c>
      <c r="O102" s="44">
        <v>12.48</v>
      </c>
      <c r="P102" s="14">
        <f t="shared" si="5"/>
        <v>33.86</v>
      </c>
      <c r="Q102" s="14">
        <v>520</v>
      </c>
      <c r="R102" s="19">
        <f t="shared" si="6"/>
        <v>17607.2</v>
      </c>
      <c r="S102" s="46"/>
      <c r="T102" s="206"/>
      <c r="V102" s="15" t="s">
        <v>217</v>
      </c>
      <c r="W102" s="16"/>
      <c r="X102" s="37">
        <f t="shared" si="7"/>
        <v>0</v>
      </c>
      <c r="Y102" s="25"/>
      <c r="Z102" s="15">
        <f t="shared" si="8"/>
        <v>0</v>
      </c>
      <c r="AA102" s="15">
        <f t="shared" si="9"/>
        <v>17607.2</v>
      </c>
      <c r="AB102" s="59"/>
      <c r="AC102" s="48"/>
      <c r="AD102" s="50"/>
      <c r="AE102" s="51"/>
      <c r="AF102" s="48"/>
      <c r="AG102" s="51"/>
      <c r="AH102" s="48"/>
      <c r="AI102" s="50"/>
      <c r="AJ102" s="48"/>
      <c r="AK102" s="50"/>
      <c r="AL102" s="50"/>
    </row>
    <row r="103" spans="1:38" s="27" customFormat="1" ht="15.75">
      <c r="A103" s="32">
        <v>100</v>
      </c>
      <c r="B103" s="13">
        <v>45935</v>
      </c>
      <c r="C103" s="13">
        <v>45936</v>
      </c>
      <c r="D103" s="65" t="s">
        <v>290</v>
      </c>
      <c r="E103" s="14"/>
      <c r="F103" s="14"/>
      <c r="G103" s="14"/>
      <c r="H103" s="69">
        <v>285</v>
      </c>
      <c r="I103" s="70" t="s">
        <v>215</v>
      </c>
      <c r="J103" s="42" t="s">
        <v>23</v>
      </c>
      <c r="K103" s="36" t="s">
        <v>38</v>
      </c>
      <c r="L103" s="14" t="s">
        <v>190</v>
      </c>
      <c r="M103" s="14" t="s">
        <v>48</v>
      </c>
      <c r="N103" s="44">
        <v>44.3</v>
      </c>
      <c r="O103" s="44">
        <v>11.78</v>
      </c>
      <c r="P103" s="18">
        <f t="shared" si="5"/>
        <v>32.519999999999996</v>
      </c>
      <c r="Q103" s="14">
        <v>520</v>
      </c>
      <c r="R103" s="19">
        <f t="shared" si="6"/>
        <v>16910.399999999998</v>
      </c>
      <c r="S103" s="15"/>
      <c r="T103" s="15"/>
      <c r="V103" s="15" t="s">
        <v>217</v>
      </c>
      <c r="W103" s="16"/>
      <c r="X103" s="37">
        <f t="shared" si="7"/>
        <v>0</v>
      </c>
      <c r="Y103" s="25"/>
      <c r="Z103" s="15">
        <f t="shared" si="8"/>
        <v>0</v>
      </c>
      <c r="AA103" s="15">
        <f t="shared" si="9"/>
        <v>16910.399999999998</v>
      </c>
    </row>
    <row r="104" spans="1:38" s="27" customFormat="1" ht="15.75">
      <c r="A104" s="32">
        <v>101</v>
      </c>
      <c r="B104" s="13">
        <v>45935</v>
      </c>
      <c r="C104" s="13">
        <v>45936</v>
      </c>
      <c r="D104" s="65" t="s">
        <v>291</v>
      </c>
      <c r="E104" s="14"/>
      <c r="F104" s="14"/>
      <c r="G104" s="14"/>
      <c r="H104" s="69">
        <v>285</v>
      </c>
      <c r="I104" s="70" t="s">
        <v>215</v>
      </c>
      <c r="J104" s="42" t="s">
        <v>23</v>
      </c>
      <c r="K104" s="36" t="s">
        <v>38</v>
      </c>
      <c r="L104" s="14" t="s">
        <v>149</v>
      </c>
      <c r="M104" s="14" t="s">
        <v>48</v>
      </c>
      <c r="N104" s="14">
        <v>47.62</v>
      </c>
      <c r="O104" s="44">
        <v>12.48</v>
      </c>
      <c r="P104" s="18">
        <f t="shared" si="5"/>
        <v>35.14</v>
      </c>
      <c r="Q104" s="14">
        <v>520</v>
      </c>
      <c r="R104" s="19">
        <f t="shared" si="6"/>
        <v>18272.8</v>
      </c>
      <c r="S104" s="15"/>
      <c r="T104" s="15"/>
      <c r="V104" s="15" t="s">
        <v>217</v>
      </c>
      <c r="W104" s="16"/>
      <c r="X104" s="37">
        <f t="shared" si="7"/>
        <v>0</v>
      </c>
      <c r="Y104" s="25"/>
      <c r="Z104" s="15">
        <f t="shared" si="8"/>
        <v>0</v>
      </c>
      <c r="AA104" s="15">
        <f t="shared" si="9"/>
        <v>18272.8</v>
      </c>
    </row>
    <row r="105" spans="1:38" s="27" customFormat="1" ht="15.75">
      <c r="A105" s="32">
        <v>102</v>
      </c>
      <c r="B105" s="13">
        <v>45935</v>
      </c>
      <c r="C105" s="13">
        <v>45936</v>
      </c>
      <c r="D105" s="65" t="s">
        <v>292</v>
      </c>
      <c r="E105" s="14"/>
      <c r="F105" s="14"/>
      <c r="G105" s="14"/>
      <c r="H105" s="69">
        <v>221</v>
      </c>
      <c r="I105" s="71" t="s">
        <v>266</v>
      </c>
      <c r="J105" s="42" t="s">
        <v>23</v>
      </c>
      <c r="K105" s="36" t="s">
        <v>38</v>
      </c>
      <c r="L105" s="14" t="s">
        <v>293</v>
      </c>
      <c r="M105" s="14" t="s">
        <v>55</v>
      </c>
      <c r="N105" s="14">
        <v>56.82</v>
      </c>
      <c r="O105" s="14">
        <v>14.52</v>
      </c>
      <c r="P105" s="18">
        <f t="shared" si="5"/>
        <v>42.3</v>
      </c>
      <c r="Q105" s="14">
        <v>450</v>
      </c>
      <c r="R105" s="19">
        <f t="shared" si="6"/>
        <v>19035</v>
      </c>
      <c r="S105" s="14"/>
      <c r="T105" s="15"/>
      <c r="V105" s="15" t="s">
        <v>268</v>
      </c>
      <c r="W105" s="16"/>
      <c r="X105" s="25">
        <f t="shared" si="7"/>
        <v>0</v>
      </c>
      <c r="Y105" s="25"/>
      <c r="Z105" s="15">
        <f t="shared" si="8"/>
        <v>0</v>
      </c>
      <c r="AA105" s="15">
        <f t="shared" si="9"/>
        <v>19035</v>
      </c>
    </row>
    <row r="106" spans="1:38" s="83" customFormat="1" ht="15.75">
      <c r="A106" s="32">
        <v>103</v>
      </c>
      <c r="B106" s="72">
        <v>45936</v>
      </c>
      <c r="C106" s="72">
        <v>45936</v>
      </c>
      <c r="D106" s="73" t="s">
        <v>294</v>
      </c>
      <c r="E106" s="74"/>
      <c r="F106" s="74"/>
      <c r="G106" s="74"/>
      <c r="H106" s="84"/>
      <c r="I106" s="29" t="s">
        <v>295</v>
      </c>
      <c r="J106" s="75" t="s">
        <v>23</v>
      </c>
      <c r="K106" s="29" t="s">
        <v>30</v>
      </c>
      <c r="L106" s="76" t="s">
        <v>296</v>
      </c>
      <c r="M106" s="74" t="s">
        <v>31</v>
      </c>
      <c r="N106" s="74">
        <v>7.72</v>
      </c>
      <c r="O106" s="74">
        <v>3.26</v>
      </c>
      <c r="P106" s="85">
        <f t="shared" si="5"/>
        <v>4.46</v>
      </c>
      <c r="Q106" s="74">
        <v>150</v>
      </c>
      <c r="R106" s="86">
        <f t="shared" si="6"/>
        <v>669</v>
      </c>
      <c r="S106" s="79">
        <v>670</v>
      </c>
      <c r="T106" s="82"/>
      <c r="V106" s="79" t="s">
        <v>24</v>
      </c>
      <c r="W106" s="80"/>
      <c r="X106" s="81">
        <f t="shared" si="7"/>
        <v>0</v>
      </c>
      <c r="Y106" s="82"/>
      <c r="Z106" s="82">
        <f t="shared" si="8"/>
        <v>0</v>
      </c>
      <c r="AA106" s="82">
        <f t="shared" si="9"/>
        <v>669</v>
      </c>
    </row>
    <row r="107" spans="1:38" s="83" customFormat="1" ht="15.75">
      <c r="A107" s="32">
        <v>104</v>
      </c>
      <c r="B107" s="72">
        <v>45936</v>
      </c>
      <c r="C107" s="72">
        <v>45936</v>
      </c>
      <c r="D107" s="73" t="s">
        <v>297</v>
      </c>
      <c r="E107" s="74"/>
      <c r="F107" s="74"/>
      <c r="G107" s="74"/>
      <c r="H107" s="84"/>
      <c r="I107" s="29" t="s">
        <v>298</v>
      </c>
      <c r="J107" s="75" t="s">
        <v>23</v>
      </c>
      <c r="K107" s="29" t="s">
        <v>30</v>
      </c>
      <c r="L107" s="76" t="s">
        <v>299</v>
      </c>
      <c r="M107" s="74" t="s">
        <v>31</v>
      </c>
      <c r="N107" s="74">
        <v>8.36</v>
      </c>
      <c r="O107" s="74">
        <v>3.62</v>
      </c>
      <c r="P107" s="77">
        <f t="shared" si="5"/>
        <v>4.7399999999999993</v>
      </c>
      <c r="Q107" s="74">
        <v>150</v>
      </c>
      <c r="R107" s="78">
        <f t="shared" si="6"/>
        <v>710.99999999999989</v>
      </c>
      <c r="S107" s="80">
        <v>710</v>
      </c>
      <c r="T107" s="79"/>
      <c r="V107" s="79" t="s">
        <v>24</v>
      </c>
      <c r="W107" s="80"/>
      <c r="X107" s="81">
        <f t="shared" si="7"/>
        <v>0</v>
      </c>
      <c r="Y107" s="82"/>
      <c r="Z107" s="79">
        <f t="shared" si="8"/>
        <v>0</v>
      </c>
      <c r="AA107" s="79">
        <f t="shared" si="9"/>
        <v>710.99999999999989</v>
      </c>
    </row>
    <row r="108" spans="1:38" s="83" customFormat="1" ht="15.75">
      <c r="A108" s="32">
        <v>105</v>
      </c>
      <c r="B108" s="72">
        <v>45936</v>
      </c>
      <c r="C108" s="72">
        <v>45936</v>
      </c>
      <c r="D108" s="53">
        <v>251006001</v>
      </c>
      <c r="E108" s="74" t="s">
        <v>300</v>
      </c>
      <c r="F108" s="74" t="s">
        <v>301</v>
      </c>
      <c r="G108" s="74">
        <v>25</v>
      </c>
      <c r="H108" s="41">
        <v>115</v>
      </c>
      <c r="I108" s="36" t="s">
        <v>46</v>
      </c>
      <c r="J108" s="42" t="s">
        <v>23</v>
      </c>
      <c r="K108" s="43" t="s">
        <v>38</v>
      </c>
      <c r="L108" s="74" t="s">
        <v>110</v>
      </c>
      <c r="M108" s="74" t="s">
        <v>40</v>
      </c>
      <c r="N108" s="74">
        <v>42.91</v>
      </c>
      <c r="O108" s="74">
        <v>11.58</v>
      </c>
      <c r="P108" s="77">
        <f t="shared" si="5"/>
        <v>31.33</v>
      </c>
      <c r="Q108" s="74">
        <v>315</v>
      </c>
      <c r="R108" s="78">
        <f t="shared" si="6"/>
        <v>9868.9499999999989</v>
      </c>
      <c r="S108" s="82"/>
      <c r="T108" s="79"/>
      <c r="V108" s="79" t="s">
        <v>24</v>
      </c>
      <c r="W108" s="80">
        <v>145</v>
      </c>
      <c r="X108" s="81">
        <f t="shared" si="7"/>
        <v>4542.8499999999995</v>
      </c>
      <c r="Y108" s="82">
        <v>260</v>
      </c>
      <c r="Z108" s="79">
        <f t="shared" si="8"/>
        <v>8145.7999999999993</v>
      </c>
      <c r="AA108" s="79">
        <f t="shared" si="9"/>
        <v>22557.599999999999</v>
      </c>
    </row>
    <row r="109" spans="1:38" s="83" customFormat="1" ht="15.75">
      <c r="A109" s="32">
        <v>106</v>
      </c>
      <c r="B109" s="72">
        <v>45936</v>
      </c>
      <c r="C109" s="72">
        <v>45936</v>
      </c>
      <c r="D109" s="53">
        <v>251006002</v>
      </c>
      <c r="E109" s="74" t="s">
        <v>302</v>
      </c>
      <c r="F109" s="74" t="s">
        <v>303</v>
      </c>
      <c r="G109" s="74">
        <v>25</v>
      </c>
      <c r="H109" s="41">
        <v>115</v>
      </c>
      <c r="I109" s="36" t="s">
        <v>46</v>
      </c>
      <c r="J109" s="42" t="s">
        <v>23</v>
      </c>
      <c r="K109" s="43" t="s">
        <v>38</v>
      </c>
      <c r="L109" s="74" t="s">
        <v>304</v>
      </c>
      <c r="M109" s="74" t="s">
        <v>40</v>
      </c>
      <c r="N109" s="88">
        <v>58.49</v>
      </c>
      <c r="O109" s="74">
        <v>15.78</v>
      </c>
      <c r="P109" s="77">
        <f t="shared" si="5"/>
        <v>42.71</v>
      </c>
      <c r="Q109" s="74">
        <v>315</v>
      </c>
      <c r="R109" s="78">
        <f t="shared" si="6"/>
        <v>13453.65</v>
      </c>
      <c r="S109" s="74"/>
      <c r="T109" s="79"/>
      <c r="V109" s="79" t="s">
        <v>24</v>
      </c>
      <c r="W109" s="80">
        <v>145</v>
      </c>
      <c r="X109" s="81">
        <f t="shared" si="7"/>
        <v>6192.95</v>
      </c>
      <c r="Y109" s="82">
        <v>260</v>
      </c>
      <c r="Z109" s="79">
        <f t="shared" si="8"/>
        <v>11104.6</v>
      </c>
      <c r="AA109" s="79">
        <f t="shared" si="9"/>
        <v>30751.199999999997</v>
      </c>
    </row>
    <row r="110" spans="1:38" s="83" customFormat="1" ht="15.75">
      <c r="A110" s="32">
        <v>107</v>
      </c>
      <c r="B110" s="72">
        <v>45936</v>
      </c>
      <c r="C110" s="72">
        <v>45936</v>
      </c>
      <c r="D110" s="53">
        <v>251006003</v>
      </c>
      <c r="E110" s="74" t="s">
        <v>305</v>
      </c>
      <c r="F110" s="74" t="s">
        <v>306</v>
      </c>
      <c r="G110" s="74">
        <v>25</v>
      </c>
      <c r="H110" s="33">
        <v>24</v>
      </c>
      <c r="I110" s="34" t="s">
        <v>37</v>
      </c>
      <c r="J110" s="35" t="s">
        <v>23</v>
      </c>
      <c r="K110" s="36" t="s">
        <v>38</v>
      </c>
      <c r="L110" s="74" t="s">
        <v>193</v>
      </c>
      <c r="M110" s="74" t="s">
        <v>55</v>
      </c>
      <c r="N110" s="88">
        <v>68.42</v>
      </c>
      <c r="O110" s="88">
        <v>15.58</v>
      </c>
      <c r="P110" s="77">
        <f t="shared" si="5"/>
        <v>52.84</v>
      </c>
      <c r="Q110" s="74">
        <v>445</v>
      </c>
      <c r="R110" s="78">
        <f t="shared" si="6"/>
        <v>23513.800000000003</v>
      </c>
      <c r="S110" s="74"/>
      <c r="T110" s="79"/>
      <c r="V110" s="79" t="s">
        <v>24</v>
      </c>
      <c r="W110" s="80">
        <v>145</v>
      </c>
      <c r="X110" s="81">
        <f t="shared" si="7"/>
        <v>7661.8</v>
      </c>
      <c r="Y110" s="82">
        <v>260</v>
      </c>
      <c r="Z110" s="79">
        <f t="shared" si="8"/>
        <v>13738.400000000001</v>
      </c>
      <c r="AA110" s="79">
        <f t="shared" si="9"/>
        <v>44914</v>
      </c>
    </row>
    <row r="111" spans="1:38" s="83" customFormat="1" ht="15.75">
      <c r="A111" s="32">
        <v>108</v>
      </c>
      <c r="B111" s="72">
        <v>45936</v>
      </c>
      <c r="C111" s="72">
        <v>45936</v>
      </c>
      <c r="D111" s="53">
        <v>251006005</v>
      </c>
      <c r="E111" s="74" t="s">
        <v>307</v>
      </c>
      <c r="F111" s="74" t="s">
        <v>308</v>
      </c>
      <c r="G111" s="74">
        <v>25</v>
      </c>
      <c r="H111" s="33">
        <v>24</v>
      </c>
      <c r="I111" s="34" t="s">
        <v>37</v>
      </c>
      <c r="J111" s="35" t="s">
        <v>23</v>
      </c>
      <c r="K111" s="36" t="s">
        <v>38</v>
      </c>
      <c r="L111" s="74" t="s">
        <v>67</v>
      </c>
      <c r="M111" s="74" t="s">
        <v>55</v>
      </c>
      <c r="N111" s="88">
        <v>63.5</v>
      </c>
      <c r="O111" s="88">
        <v>15.82</v>
      </c>
      <c r="P111" s="77">
        <f t="shared" si="5"/>
        <v>47.68</v>
      </c>
      <c r="Q111" s="74">
        <v>445</v>
      </c>
      <c r="R111" s="78">
        <f t="shared" si="6"/>
        <v>21217.599999999999</v>
      </c>
      <c r="S111" s="74"/>
      <c r="T111" s="79"/>
      <c r="V111" s="79" t="s">
        <v>24</v>
      </c>
      <c r="W111" s="80">
        <v>145</v>
      </c>
      <c r="X111" s="81">
        <f t="shared" si="7"/>
        <v>6913.6</v>
      </c>
      <c r="Y111" s="82">
        <v>260</v>
      </c>
      <c r="Z111" s="79">
        <f t="shared" si="8"/>
        <v>12396.8</v>
      </c>
      <c r="AA111" s="79">
        <f t="shared" si="9"/>
        <v>40528</v>
      </c>
    </row>
    <row r="112" spans="1:38" s="83" customFormat="1" ht="15.75">
      <c r="A112" s="32">
        <v>109</v>
      </c>
      <c r="B112" s="72">
        <v>45936</v>
      </c>
      <c r="C112" s="72">
        <v>45936</v>
      </c>
      <c r="D112" s="53">
        <v>251006004</v>
      </c>
      <c r="E112" s="74" t="s">
        <v>309</v>
      </c>
      <c r="F112" s="74" t="s">
        <v>310</v>
      </c>
      <c r="G112" s="74">
        <v>25</v>
      </c>
      <c r="H112" s="33">
        <v>24</v>
      </c>
      <c r="I112" s="34" t="s">
        <v>37</v>
      </c>
      <c r="J112" s="35" t="s">
        <v>23</v>
      </c>
      <c r="K112" s="36" t="s">
        <v>38</v>
      </c>
      <c r="L112" s="74" t="s">
        <v>311</v>
      </c>
      <c r="M112" s="74" t="s">
        <v>55</v>
      </c>
      <c r="N112" s="88">
        <v>48.94</v>
      </c>
      <c r="O112" s="88">
        <v>11.42</v>
      </c>
      <c r="P112" s="77">
        <f t="shared" si="5"/>
        <v>37.519999999999996</v>
      </c>
      <c r="Q112" s="74">
        <v>445</v>
      </c>
      <c r="R112" s="78">
        <f t="shared" si="6"/>
        <v>16696.399999999998</v>
      </c>
      <c r="S112" s="74"/>
      <c r="T112" s="79"/>
      <c r="V112" s="79" t="s">
        <v>24</v>
      </c>
      <c r="W112" s="80">
        <v>145</v>
      </c>
      <c r="X112" s="81">
        <f t="shared" si="7"/>
        <v>5440.4</v>
      </c>
      <c r="Y112" s="82">
        <v>260</v>
      </c>
      <c r="Z112" s="79">
        <f t="shared" si="8"/>
        <v>9755.1999999999989</v>
      </c>
      <c r="AA112" s="89">
        <f t="shared" si="9"/>
        <v>31891.999999999993</v>
      </c>
    </row>
    <row r="113" spans="1:38" s="83" customFormat="1" ht="17.100000000000001" customHeight="1">
      <c r="A113" s="32">
        <v>110</v>
      </c>
      <c r="B113" s="72">
        <v>45936</v>
      </c>
      <c r="C113" s="72">
        <v>45936</v>
      </c>
      <c r="D113" s="53">
        <v>251006006</v>
      </c>
      <c r="E113" s="74" t="s">
        <v>312</v>
      </c>
      <c r="F113" s="74" t="s">
        <v>313</v>
      </c>
      <c r="G113" s="74">
        <v>25</v>
      </c>
      <c r="H113" s="33">
        <v>24</v>
      </c>
      <c r="I113" s="34" t="s">
        <v>37</v>
      </c>
      <c r="J113" s="35" t="s">
        <v>23</v>
      </c>
      <c r="K113" s="36" t="s">
        <v>38</v>
      </c>
      <c r="L113" s="74" t="s">
        <v>54</v>
      </c>
      <c r="M113" s="74" t="s">
        <v>55</v>
      </c>
      <c r="N113" s="88">
        <v>65.56</v>
      </c>
      <c r="O113" s="88">
        <v>16.739999999999998</v>
      </c>
      <c r="P113" s="74">
        <f t="shared" si="5"/>
        <v>48.820000000000007</v>
      </c>
      <c r="Q113" s="74">
        <v>445</v>
      </c>
      <c r="R113" s="78">
        <f t="shared" si="6"/>
        <v>21724.900000000005</v>
      </c>
      <c r="S113" s="74"/>
      <c r="T113" s="79"/>
      <c r="V113" s="79" t="s">
        <v>24</v>
      </c>
      <c r="W113" s="80">
        <v>145</v>
      </c>
      <c r="X113" s="81">
        <f t="shared" si="7"/>
        <v>7078.9000000000015</v>
      </c>
      <c r="Y113" s="82">
        <v>260</v>
      </c>
      <c r="Z113" s="79">
        <f t="shared" si="8"/>
        <v>12693.200000000003</v>
      </c>
      <c r="AA113" s="79">
        <f t="shared" si="9"/>
        <v>41497.000000000007</v>
      </c>
      <c r="AB113" s="91"/>
      <c r="AC113" s="90"/>
      <c r="AD113" s="92"/>
      <c r="AE113" s="93"/>
      <c r="AF113" s="90"/>
      <c r="AG113" s="93"/>
      <c r="AH113" s="90"/>
      <c r="AI113" s="92"/>
      <c r="AJ113" s="90"/>
      <c r="AK113" s="92"/>
      <c r="AL113" s="92"/>
    </row>
    <row r="114" spans="1:38" s="83" customFormat="1" ht="15.75">
      <c r="A114" s="32">
        <v>111</v>
      </c>
      <c r="B114" s="72">
        <v>45936</v>
      </c>
      <c r="C114" s="72">
        <v>45936</v>
      </c>
      <c r="D114" s="53">
        <v>251006007</v>
      </c>
      <c r="E114" s="74" t="s">
        <v>314</v>
      </c>
      <c r="F114" s="74" t="s">
        <v>315</v>
      </c>
      <c r="G114" s="74">
        <v>25</v>
      </c>
      <c r="H114" s="33">
        <v>24</v>
      </c>
      <c r="I114" s="34" t="s">
        <v>37</v>
      </c>
      <c r="J114" s="35" t="s">
        <v>23</v>
      </c>
      <c r="K114" s="36" t="s">
        <v>38</v>
      </c>
      <c r="L114" s="74" t="s">
        <v>51</v>
      </c>
      <c r="M114" s="74" t="s">
        <v>55</v>
      </c>
      <c r="N114" s="88">
        <v>61.66</v>
      </c>
      <c r="O114" s="88">
        <v>15.32</v>
      </c>
      <c r="P114" s="77">
        <f t="shared" si="5"/>
        <v>46.339999999999996</v>
      </c>
      <c r="Q114" s="74">
        <v>445</v>
      </c>
      <c r="R114" s="78">
        <f t="shared" si="6"/>
        <v>20621.3</v>
      </c>
      <c r="S114" s="74"/>
      <c r="T114" s="79"/>
      <c r="V114" s="79" t="s">
        <v>24</v>
      </c>
      <c r="W114" s="80">
        <v>145</v>
      </c>
      <c r="X114" s="81">
        <f t="shared" si="7"/>
        <v>6719.2999999999993</v>
      </c>
      <c r="Y114" s="82">
        <v>260</v>
      </c>
      <c r="Z114" s="79">
        <f t="shared" si="8"/>
        <v>12048.4</v>
      </c>
      <c r="AA114" s="79">
        <f t="shared" si="9"/>
        <v>39389</v>
      </c>
    </row>
    <row r="115" spans="1:38" s="83" customFormat="1" ht="15.75">
      <c r="A115" s="32">
        <v>112</v>
      </c>
      <c r="B115" s="72">
        <v>45936</v>
      </c>
      <c r="C115" s="72">
        <v>45936</v>
      </c>
      <c r="D115" s="53">
        <v>251006009</v>
      </c>
      <c r="E115" s="74" t="s">
        <v>316</v>
      </c>
      <c r="F115" s="74" t="s">
        <v>317</v>
      </c>
      <c r="G115" s="74">
        <v>25</v>
      </c>
      <c r="H115" s="33">
        <v>24</v>
      </c>
      <c r="I115" s="34" t="s">
        <v>37</v>
      </c>
      <c r="J115" s="35" t="s">
        <v>23</v>
      </c>
      <c r="K115" s="36" t="s">
        <v>38</v>
      </c>
      <c r="L115" s="74" t="s">
        <v>116</v>
      </c>
      <c r="M115" s="74" t="s">
        <v>55</v>
      </c>
      <c r="N115" s="74">
        <v>61.78</v>
      </c>
      <c r="O115" s="88">
        <v>14.94</v>
      </c>
      <c r="P115" s="77">
        <f t="shared" si="5"/>
        <v>46.84</v>
      </c>
      <c r="Q115" s="74">
        <v>445</v>
      </c>
      <c r="R115" s="78">
        <f t="shared" si="6"/>
        <v>20843.800000000003</v>
      </c>
      <c r="S115" s="74"/>
      <c r="T115" s="79"/>
      <c r="V115" s="79" t="s">
        <v>24</v>
      </c>
      <c r="W115" s="80">
        <v>145</v>
      </c>
      <c r="X115" s="81">
        <f t="shared" si="7"/>
        <v>6791.8</v>
      </c>
      <c r="Y115" s="82">
        <v>260</v>
      </c>
      <c r="Z115" s="79">
        <f t="shared" si="8"/>
        <v>12178.400000000001</v>
      </c>
      <c r="AA115" s="79">
        <f t="shared" si="9"/>
        <v>39814</v>
      </c>
    </row>
    <row r="116" spans="1:38" s="83" customFormat="1" ht="15.75">
      <c r="A116" s="32">
        <v>113</v>
      </c>
      <c r="B116" s="72">
        <v>45936</v>
      </c>
      <c r="C116" s="72">
        <v>45936</v>
      </c>
      <c r="D116" s="53">
        <v>251006008</v>
      </c>
      <c r="E116" s="74" t="s">
        <v>318</v>
      </c>
      <c r="F116" s="74" t="s">
        <v>319</v>
      </c>
      <c r="G116" s="74">
        <v>25</v>
      </c>
      <c r="H116" s="33">
        <v>24</v>
      </c>
      <c r="I116" s="34" t="s">
        <v>37</v>
      </c>
      <c r="J116" s="35" t="s">
        <v>23</v>
      </c>
      <c r="K116" s="36" t="s">
        <v>38</v>
      </c>
      <c r="L116" s="74" t="s">
        <v>134</v>
      </c>
      <c r="M116" s="74" t="s">
        <v>55</v>
      </c>
      <c r="N116" s="88">
        <v>60.9</v>
      </c>
      <c r="O116" s="74">
        <v>15.64</v>
      </c>
      <c r="P116" s="77">
        <f t="shared" si="5"/>
        <v>45.26</v>
      </c>
      <c r="Q116" s="74">
        <v>445</v>
      </c>
      <c r="R116" s="78">
        <f t="shared" si="6"/>
        <v>20140.7</v>
      </c>
      <c r="S116" s="74"/>
      <c r="T116" s="79"/>
      <c r="V116" s="79" t="s">
        <v>24</v>
      </c>
      <c r="W116" s="80">
        <v>145</v>
      </c>
      <c r="X116" s="81">
        <f t="shared" si="7"/>
        <v>6562.7</v>
      </c>
      <c r="Y116" s="82">
        <v>260</v>
      </c>
      <c r="Z116" s="79">
        <f t="shared" si="8"/>
        <v>11767.6</v>
      </c>
      <c r="AA116" s="79">
        <f t="shared" si="9"/>
        <v>38471</v>
      </c>
    </row>
    <row r="117" spans="1:38" s="87" customFormat="1" ht="15.75">
      <c r="A117" s="32">
        <v>114</v>
      </c>
      <c r="B117" s="72">
        <v>45936</v>
      </c>
      <c r="C117" s="72">
        <v>45936</v>
      </c>
      <c r="D117" s="53">
        <v>251006011</v>
      </c>
      <c r="E117" s="74" t="s">
        <v>320</v>
      </c>
      <c r="F117" s="74" t="s">
        <v>321</v>
      </c>
      <c r="G117" s="74">
        <v>25</v>
      </c>
      <c r="H117" s="33">
        <v>24</v>
      </c>
      <c r="I117" s="34" t="s">
        <v>37</v>
      </c>
      <c r="J117" s="35" t="s">
        <v>23</v>
      </c>
      <c r="K117" s="36" t="s">
        <v>38</v>
      </c>
      <c r="L117" s="74" t="s">
        <v>125</v>
      </c>
      <c r="M117" s="74" t="s">
        <v>55</v>
      </c>
      <c r="N117" s="74">
        <v>64.52</v>
      </c>
      <c r="O117" s="88">
        <v>15.7</v>
      </c>
      <c r="P117" s="77">
        <f t="shared" si="5"/>
        <v>48.819999999999993</v>
      </c>
      <c r="Q117" s="74">
        <v>445</v>
      </c>
      <c r="R117" s="78">
        <f t="shared" si="6"/>
        <v>21724.899999999998</v>
      </c>
      <c r="S117" s="74"/>
      <c r="T117" s="79"/>
      <c r="V117" s="79" t="s">
        <v>24</v>
      </c>
      <c r="W117" s="80">
        <v>145</v>
      </c>
      <c r="X117" s="81">
        <f t="shared" si="7"/>
        <v>7078.8999999999987</v>
      </c>
      <c r="Y117" s="82">
        <v>260</v>
      </c>
      <c r="Z117" s="79">
        <f t="shared" si="8"/>
        <v>12693.199999999999</v>
      </c>
      <c r="AA117" s="79">
        <f t="shared" si="9"/>
        <v>41496.999999999993</v>
      </c>
    </row>
    <row r="118" spans="1:38" s="83" customFormat="1" ht="15.75">
      <c r="A118" s="32">
        <v>115</v>
      </c>
      <c r="B118" s="72">
        <v>45936</v>
      </c>
      <c r="C118" s="72">
        <v>45936</v>
      </c>
      <c r="D118" s="53">
        <v>251006010</v>
      </c>
      <c r="E118" s="74" t="s">
        <v>322</v>
      </c>
      <c r="F118" s="74" t="s">
        <v>323</v>
      </c>
      <c r="G118" s="74">
        <v>25</v>
      </c>
      <c r="H118" s="33">
        <v>24</v>
      </c>
      <c r="I118" s="34" t="s">
        <v>37</v>
      </c>
      <c r="J118" s="35" t="s">
        <v>23</v>
      </c>
      <c r="K118" s="36" t="s">
        <v>38</v>
      </c>
      <c r="L118" s="76" t="s">
        <v>82</v>
      </c>
      <c r="M118" s="74" t="s">
        <v>55</v>
      </c>
      <c r="N118" s="74">
        <v>62.42</v>
      </c>
      <c r="O118" s="74">
        <v>15.06</v>
      </c>
      <c r="P118" s="85">
        <f t="shared" si="5"/>
        <v>47.36</v>
      </c>
      <c r="Q118" s="74">
        <v>445</v>
      </c>
      <c r="R118" s="78">
        <f t="shared" si="6"/>
        <v>21075.200000000001</v>
      </c>
      <c r="S118" s="74"/>
      <c r="T118" s="79"/>
      <c r="V118" s="79" t="s">
        <v>24</v>
      </c>
      <c r="W118" s="80">
        <v>145</v>
      </c>
      <c r="X118" s="81">
        <f t="shared" si="7"/>
        <v>6867.2</v>
      </c>
      <c r="Y118" s="82">
        <v>260</v>
      </c>
      <c r="Z118" s="82">
        <f t="shared" si="8"/>
        <v>12313.6</v>
      </c>
      <c r="AA118" s="82">
        <f t="shared" si="9"/>
        <v>40256</v>
      </c>
    </row>
    <row r="119" spans="1:38" s="83" customFormat="1" ht="15.75">
      <c r="A119" s="32">
        <v>116</v>
      </c>
      <c r="B119" s="72">
        <v>45936</v>
      </c>
      <c r="C119" s="72">
        <v>45936</v>
      </c>
      <c r="D119" s="53">
        <v>251006012</v>
      </c>
      <c r="E119" s="74" t="s">
        <v>324</v>
      </c>
      <c r="F119" s="74" t="s">
        <v>325</v>
      </c>
      <c r="G119" s="74">
        <v>25</v>
      </c>
      <c r="H119" s="33">
        <v>24</v>
      </c>
      <c r="I119" s="34" t="s">
        <v>37</v>
      </c>
      <c r="J119" s="35" t="s">
        <v>23</v>
      </c>
      <c r="K119" s="36" t="s">
        <v>38</v>
      </c>
      <c r="L119" s="76" t="s">
        <v>98</v>
      </c>
      <c r="M119" s="74" t="s">
        <v>55</v>
      </c>
      <c r="N119" s="88">
        <v>48.8</v>
      </c>
      <c r="O119" s="88">
        <v>11.96</v>
      </c>
      <c r="P119" s="77">
        <f t="shared" si="5"/>
        <v>36.839999999999996</v>
      </c>
      <c r="Q119" s="74">
        <v>445</v>
      </c>
      <c r="R119" s="78">
        <f t="shared" si="6"/>
        <v>16393.8</v>
      </c>
      <c r="S119" s="74"/>
      <c r="T119" s="79"/>
      <c r="V119" s="79" t="s">
        <v>24</v>
      </c>
      <c r="W119" s="80">
        <v>145</v>
      </c>
      <c r="X119" s="81">
        <f t="shared" si="7"/>
        <v>5341.7999999999993</v>
      </c>
      <c r="Y119" s="82">
        <v>260</v>
      </c>
      <c r="Z119" s="79">
        <f t="shared" si="8"/>
        <v>9578.4</v>
      </c>
      <c r="AA119" s="79">
        <f t="shared" si="9"/>
        <v>31314</v>
      </c>
    </row>
    <row r="120" spans="1:38" s="87" customFormat="1" ht="15.75">
      <c r="A120" s="32">
        <v>117</v>
      </c>
      <c r="B120" s="72">
        <v>45936</v>
      </c>
      <c r="C120" s="72">
        <v>45936</v>
      </c>
      <c r="D120" s="53">
        <v>251006015</v>
      </c>
      <c r="E120" s="74" t="s">
        <v>326</v>
      </c>
      <c r="F120" s="74" t="s">
        <v>327</v>
      </c>
      <c r="G120" s="74">
        <v>25</v>
      </c>
      <c r="H120" s="33">
        <v>24</v>
      </c>
      <c r="I120" s="34" t="s">
        <v>37</v>
      </c>
      <c r="J120" s="35" t="s">
        <v>23</v>
      </c>
      <c r="K120" s="36" t="s">
        <v>38</v>
      </c>
      <c r="L120" s="76" t="s">
        <v>172</v>
      </c>
      <c r="M120" s="74" t="s">
        <v>55</v>
      </c>
      <c r="N120" s="74">
        <v>72.22</v>
      </c>
      <c r="O120" s="88">
        <v>17.64</v>
      </c>
      <c r="P120" s="77">
        <f t="shared" si="5"/>
        <v>54.58</v>
      </c>
      <c r="Q120" s="74">
        <v>445</v>
      </c>
      <c r="R120" s="78">
        <f t="shared" si="6"/>
        <v>24288.1</v>
      </c>
      <c r="S120" s="74"/>
      <c r="T120" s="79"/>
      <c r="V120" s="79" t="s">
        <v>24</v>
      </c>
      <c r="W120" s="80">
        <v>145</v>
      </c>
      <c r="X120" s="81">
        <f t="shared" si="7"/>
        <v>7914.0999999999995</v>
      </c>
      <c r="Y120" s="82">
        <v>260</v>
      </c>
      <c r="Z120" s="79">
        <f t="shared" si="8"/>
        <v>14190.8</v>
      </c>
      <c r="AA120" s="79">
        <f t="shared" si="9"/>
        <v>46393</v>
      </c>
    </row>
    <row r="121" spans="1:38" s="83" customFormat="1" ht="15.75">
      <c r="A121" s="32">
        <v>118</v>
      </c>
      <c r="B121" s="72">
        <v>45936</v>
      </c>
      <c r="C121" s="72">
        <v>45936</v>
      </c>
      <c r="D121" s="53">
        <v>251006013</v>
      </c>
      <c r="E121" s="74" t="s">
        <v>328</v>
      </c>
      <c r="F121" s="74" t="s">
        <v>329</v>
      </c>
      <c r="G121" s="74">
        <v>25</v>
      </c>
      <c r="H121" s="33">
        <v>24</v>
      </c>
      <c r="I121" s="34" t="s">
        <v>37</v>
      </c>
      <c r="J121" s="35" t="s">
        <v>23</v>
      </c>
      <c r="K121" s="36" t="s">
        <v>38</v>
      </c>
      <c r="L121" s="74" t="s">
        <v>64</v>
      </c>
      <c r="M121" s="74" t="s">
        <v>55</v>
      </c>
      <c r="N121" s="74">
        <v>67.44</v>
      </c>
      <c r="O121" s="88">
        <v>16.28</v>
      </c>
      <c r="P121" s="77">
        <f t="shared" si="5"/>
        <v>51.16</v>
      </c>
      <c r="Q121" s="74">
        <v>445</v>
      </c>
      <c r="R121" s="78">
        <f t="shared" si="6"/>
        <v>22766.199999999997</v>
      </c>
      <c r="S121" s="74"/>
      <c r="T121" s="79"/>
      <c r="V121" s="79" t="s">
        <v>24</v>
      </c>
      <c r="W121" s="80">
        <v>145</v>
      </c>
      <c r="X121" s="81">
        <f t="shared" si="7"/>
        <v>7418.2</v>
      </c>
      <c r="Y121" s="82">
        <v>260</v>
      </c>
      <c r="Z121" s="79">
        <f t="shared" si="8"/>
        <v>13301.599999999999</v>
      </c>
      <c r="AA121" s="79">
        <f t="shared" si="9"/>
        <v>43486</v>
      </c>
    </row>
    <row r="122" spans="1:38" s="83" customFormat="1" ht="15.75">
      <c r="A122" s="32">
        <v>119</v>
      </c>
      <c r="B122" s="72">
        <v>45936</v>
      </c>
      <c r="C122" s="72">
        <v>45936</v>
      </c>
      <c r="D122" s="53">
        <v>251006016</v>
      </c>
      <c r="E122" s="74" t="s">
        <v>330</v>
      </c>
      <c r="F122" s="74" t="s">
        <v>331</v>
      </c>
      <c r="G122" s="74">
        <v>25</v>
      </c>
      <c r="H122" s="33">
        <v>24</v>
      </c>
      <c r="I122" s="34" t="s">
        <v>37</v>
      </c>
      <c r="J122" s="35" t="s">
        <v>23</v>
      </c>
      <c r="K122" s="36" t="s">
        <v>38</v>
      </c>
      <c r="L122" s="74" t="s">
        <v>76</v>
      </c>
      <c r="M122" s="74" t="s">
        <v>55</v>
      </c>
      <c r="N122" s="88">
        <v>71.86</v>
      </c>
      <c r="O122" s="88">
        <v>18.18</v>
      </c>
      <c r="P122" s="77">
        <f t="shared" si="5"/>
        <v>53.68</v>
      </c>
      <c r="Q122" s="74">
        <v>445</v>
      </c>
      <c r="R122" s="78">
        <f t="shared" si="6"/>
        <v>23887.599999999999</v>
      </c>
      <c r="S122" s="74"/>
      <c r="T122" s="79"/>
      <c r="V122" s="79" t="s">
        <v>24</v>
      </c>
      <c r="W122" s="80">
        <v>145</v>
      </c>
      <c r="X122" s="81">
        <f t="shared" si="7"/>
        <v>7783.6</v>
      </c>
      <c r="Y122" s="82">
        <v>260</v>
      </c>
      <c r="Z122" s="79">
        <f t="shared" si="8"/>
        <v>13956.8</v>
      </c>
      <c r="AA122" s="79">
        <f t="shared" si="9"/>
        <v>45628</v>
      </c>
    </row>
    <row r="123" spans="1:38" s="83" customFormat="1" ht="15.75">
      <c r="A123" s="32">
        <v>120</v>
      </c>
      <c r="B123" s="72">
        <v>45936</v>
      </c>
      <c r="C123" s="72">
        <v>45936</v>
      </c>
      <c r="D123" s="53">
        <v>251006014</v>
      </c>
      <c r="E123" s="74" t="s">
        <v>332</v>
      </c>
      <c r="F123" s="74" t="s">
        <v>333</v>
      </c>
      <c r="G123" s="74">
        <v>25</v>
      </c>
      <c r="H123" s="33">
        <v>24</v>
      </c>
      <c r="I123" s="34" t="s">
        <v>37</v>
      </c>
      <c r="J123" s="35" t="s">
        <v>23</v>
      </c>
      <c r="K123" s="36" t="s">
        <v>38</v>
      </c>
      <c r="L123" s="76" t="s">
        <v>122</v>
      </c>
      <c r="M123" s="74" t="s">
        <v>55</v>
      </c>
      <c r="N123" s="88">
        <v>64.2</v>
      </c>
      <c r="O123" s="88">
        <v>16</v>
      </c>
      <c r="P123" s="77">
        <f t="shared" si="5"/>
        <v>48.2</v>
      </c>
      <c r="Q123" s="74">
        <v>445</v>
      </c>
      <c r="R123" s="78">
        <f t="shared" si="6"/>
        <v>21449</v>
      </c>
      <c r="S123" s="74"/>
      <c r="T123" s="79"/>
      <c r="V123" s="79" t="s">
        <v>24</v>
      </c>
      <c r="W123" s="80">
        <v>145</v>
      </c>
      <c r="X123" s="81">
        <f t="shared" si="7"/>
        <v>6989</v>
      </c>
      <c r="Y123" s="82">
        <v>260</v>
      </c>
      <c r="Z123" s="79">
        <f t="shared" si="8"/>
        <v>12532</v>
      </c>
      <c r="AA123" s="79">
        <f t="shared" si="9"/>
        <v>40970</v>
      </c>
    </row>
    <row r="124" spans="1:38" s="83" customFormat="1" ht="15.75">
      <c r="A124" s="32">
        <v>121</v>
      </c>
      <c r="B124" s="72">
        <v>45936</v>
      </c>
      <c r="C124" s="72">
        <v>45936</v>
      </c>
      <c r="D124" s="53">
        <v>251006017</v>
      </c>
      <c r="E124" s="74" t="s">
        <v>334</v>
      </c>
      <c r="F124" s="74" t="s">
        <v>335</v>
      </c>
      <c r="G124" s="74">
        <v>25</v>
      </c>
      <c r="H124" s="33">
        <v>24</v>
      </c>
      <c r="I124" s="34" t="s">
        <v>37</v>
      </c>
      <c r="J124" s="35" t="s">
        <v>23</v>
      </c>
      <c r="K124" s="36" t="s">
        <v>38</v>
      </c>
      <c r="L124" s="74" t="s">
        <v>198</v>
      </c>
      <c r="M124" s="74" t="s">
        <v>55</v>
      </c>
      <c r="N124" s="88">
        <v>64.84</v>
      </c>
      <c r="O124" s="74">
        <v>15.82</v>
      </c>
      <c r="P124" s="77">
        <f t="shared" si="5"/>
        <v>49.02</v>
      </c>
      <c r="Q124" s="74">
        <v>445</v>
      </c>
      <c r="R124" s="78">
        <f t="shared" si="6"/>
        <v>21813.9</v>
      </c>
      <c r="S124" s="74"/>
      <c r="T124" s="79"/>
      <c r="V124" s="79" t="s">
        <v>24</v>
      </c>
      <c r="W124" s="80">
        <v>145</v>
      </c>
      <c r="X124" s="81">
        <f t="shared" si="7"/>
        <v>7107.9000000000005</v>
      </c>
      <c r="Y124" s="82">
        <v>260</v>
      </c>
      <c r="Z124" s="79">
        <f t="shared" si="8"/>
        <v>12745.2</v>
      </c>
      <c r="AA124" s="79">
        <f t="shared" si="9"/>
        <v>41667</v>
      </c>
    </row>
    <row r="125" spans="1:38" s="83" customFormat="1" ht="15.75">
      <c r="A125" s="32">
        <v>122</v>
      </c>
      <c r="B125" s="72">
        <v>45936</v>
      </c>
      <c r="C125" s="72">
        <v>45936</v>
      </c>
      <c r="D125" s="53">
        <v>251006018</v>
      </c>
      <c r="E125" s="74" t="s">
        <v>336</v>
      </c>
      <c r="F125" s="74" t="s">
        <v>337</v>
      </c>
      <c r="G125" s="74">
        <v>25</v>
      </c>
      <c r="H125" s="41">
        <v>115</v>
      </c>
      <c r="I125" s="36" t="s">
        <v>46</v>
      </c>
      <c r="J125" s="42" t="s">
        <v>23</v>
      </c>
      <c r="K125" s="43" t="s">
        <v>38</v>
      </c>
      <c r="L125" s="74" t="s">
        <v>101</v>
      </c>
      <c r="M125" s="74" t="s">
        <v>40</v>
      </c>
      <c r="N125" s="74">
        <v>43.04</v>
      </c>
      <c r="O125" s="88">
        <v>11.6</v>
      </c>
      <c r="P125" s="77">
        <f t="shared" si="5"/>
        <v>31.439999999999998</v>
      </c>
      <c r="Q125" s="74">
        <v>315</v>
      </c>
      <c r="R125" s="78">
        <f t="shared" si="6"/>
        <v>9903.5999999999985</v>
      </c>
      <c r="S125" s="74"/>
      <c r="T125" s="79"/>
      <c r="V125" s="79" t="s">
        <v>24</v>
      </c>
      <c r="W125" s="80">
        <v>145</v>
      </c>
      <c r="X125" s="81">
        <f t="shared" si="7"/>
        <v>4558.7999999999993</v>
      </c>
      <c r="Y125" s="82">
        <v>260</v>
      </c>
      <c r="Z125" s="79">
        <f t="shared" si="8"/>
        <v>8174.4</v>
      </c>
      <c r="AA125" s="79">
        <f t="shared" si="9"/>
        <v>22636.799999999996</v>
      </c>
    </row>
    <row r="126" spans="1:38" s="83" customFormat="1" ht="15.75">
      <c r="A126" s="32">
        <v>123</v>
      </c>
      <c r="B126" s="72">
        <v>45936</v>
      </c>
      <c r="C126" s="72">
        <v>45936</v>
      </c>
      <c r="D126" s="53">
        <v>251006019</v>
      </c>
      <c r="E126" s="74" t="s">
        <v>338</v>
      </c>
      <c r="F126" s="74" t="s">
        <v>339</v>
      </c>
      <c r="G126" s="74">
        <v>25</v>
      </c>
      <c r="H126" s="41">
        <v>115</v>
      </c>
      <c r="I126" s="36" t="s">
        <v>46</v>
      </c>
      <c r="J126" s="42" t="s">
        <v>23</v>
      </c>
      <c r="K126" s="43" t="s">
        <v>38</v>
      </c>
      <c r="L126" s="74" t="s">
        <v>185</v>
      </c>
      <c r="M126" s="74" t="s">
        <v>48</v>
      </c>
      <c r="N126" s="88">
        <v>53.24</v>
      </c>
      <c r="O126" s="88">
        <v>12.22</v>
      </c>
      <c r="P126" s="77">
        <f t="shared" si="5"/>
        <v>41.02</v>
      </c>
      <c r="Q126" s="74">
        <v>545</v>
      </c>
      <c r="R126" s="78">
        <f t="shared" si="6"/>
        <v>22355.9</v>
      </c>
      <c r="S126" s="74"/>
      <c r="T126" s="79"/>
      <c r="V126" s="79" t="s">
        <v>24</v>
      </c>
      <c r="W126" s="80">
        <v>145</v>
      </c>
      <c r="X126" s="81">
        <f t="shared" si="7"/>
        <v>5947.9000000000005</v>
      </c>
      <c r="Y126" s="82">
        <v>260</v>
      </c>
      <c r="Z126" s="79">
        <f t="shared" si="8"/>
        <v>10665.2</v>
      </c>
      <c r="AA126" s="79">
        <f t="shared" si="9"/>
        <v>38969</v>
      </c>
    </row>
    <row r="127" spans="1:38" s="87" customFormat="1" ht="15.75">
      <c r="A127" s="32">
        <v>124</v>
      </c>
      <c r="B127" s="72">
        <v>45936</v>
      </c>
      <c r="C127" s="72">
        <v>45936</v>
      </c>
      <c r="D127" s="53">
        <v>251006020</v>
      </c>
      <c r="E127" s="74" t="s">
        <v>340</v>
      </c>
      <c r="F127" s="74" t="s">
        <v>341</v>
      </c>
      <c r="G127" s="74">
        <v>25</v>
      </c>
      <c r="H127" s="41">
        <v>115</v>
      </c>
      <c r="I127" s="36" t="s">
        <v>46</v>
      </c>
      <c r="J127" s="42" t="s">
        <v>23</v>
      </c>
      <c r="K127" s="43" t="s">
        <v>38</v>
      </c>
      <c r="L127" s="74" t="s">
        <v>342</v>
      </c>
      <c r="M127" s="74" t="s">
        <v>48</v>
      </c>
      <c r="N127" s="74">
        <v>45.88</v>
      </c>
      <c r="O127" s="74">
        <v>11.46</v>
      </c>
      <c r="P127" s="77">
        <f t="shared" si="5"/>
        <v>34.42</v>
      </c>
      <c r="Q127" s="74">
        <v>545</v>
      </c>
      <c r="R127" s="78">
        <f t="shared" si="6"/>
        <v>18758.900000000001</v>
      </c>
      <c r="S127" s="74"/>
      <c r="T127" s="79"/>
      <c r="V127" s="79" t="s">
        <v>24</v>
      </c>
      <c r="W127" s="80">
        <v>145</v>
      </c>
      <c r="X127" s="81">
        <f t="shared" si="7"/>
        <v>4990.9000000000005</v>
      </c>
      <c r="Y127" s="82">
        <v>260</v>
      </c>
      <c r="Z127" s="79">
        <f t="shared" si="8"/>
        <v>8949.2000000000007</v>
      </c>
      <c r="AA127" s="79">
        <f t="shared" si="9"/>
        <v>32699.000000000004</v>
      </c>
    </row>
    <row r="128" spans="1:38" s="87" customFormat="1" ht="15.75">
      <c r="A128" s="32">
        <v>125</v>
      </c>
      <c r="B128" s="72">
        <v>45936</v>
      </c>
      <c r="C128" s="72">
        <v>45936</v>
      </c>
      <c r="D128" s="53">
        <v>251006022</v>
      </c>
      <c r="E128" s="74" t="s">
        <v>343</v>
      </c>
      <c r="F128" s="74" t="s">
        <v>344</v>
      </c>
      <c r="G128" s="74">
        <v>25</v>
      </c>
      <c r="H128" s="41">
        <v>115</v>
      </c>
      <c r="I128" s="36" t="s">
        <v>46</v>
      </c>
      <c r="J128" s="42" t="s">
        <v>23</v>
      </c>
      <c r="K128" s="43" t="s">
        <v>38</v>
      </c>
      <c r="L128" s="74" t="s">
        <v>79</v>
      </c>
      <c r="M128" s="74" t="s">
        <v>40</v>
      </c>
      <c r="N128" s="88">
        <v>57.7</v>
      </c>
      <c r="O128" s="74">
        <v>15.98</v>
      </c>
      <c r="P128" s="77">
        <f t="shared" si="5"/>
        <v>41.72</v>
      </c>
      <c r="Q128" s="74">
        <v>315</v>
      </c>
      <c r="R128" s="78">
        <f t="shared" si="6"/>
        <v>13141.8</v>
      </c>
      <c r="S128" s="74"/>
      <c r="T128" s="79"/>
      <c r="V128" s="79" t="s">
        <v>24</v>
      </c>
      <c r="W128" s="80">
        <v>145</v>
      </c>
      <c r="X128" s="81">
        <f t="shared" si="7"/>
        <v>6049.4</v>
      </c>
      <c r="Y128" s="82">
        <v>260</v>
      </c>
      <c r="Z128" s="79">
        <f t="shared" si="8"/>
        <v>10847.199999999999</v>
      </c>
      <c r="AA128" s="79">
        <f t="shared" si="9"/>
        <v>30038.399999999994</v>
      </c>
    </row>
    <row r="129" spans="1:27" s="83" customFormat="1" ht="15.75">
      <c r="A129" s="32">
        <v>126</v>
      </c>
      <c r="B129" s="72">
        <v>45936</v>
      </c>
      <c r="C129" s="72">
        <v>45936</v>
      </c>
      <c r="D129" s="53">
        <v>251006021</v>
      </c>
      <c r="E129" s="74" t="s">
        <v>345</v>
      </c>
      <c r="F129" s="74" t="s">
        <v>346</v>
      </c>
      <c r="G129" s="74">
        <v>25</v>
      </c>
      <c r="H129" s="41">
        <v>115</v>
      </c>
      <c r="I129" s="36" t="s">
        <v>46</v>
      </c>
      <c r="J129" s="42" t="s">
        <v>23</v>
      </c>
      <c r="K129" s="43" t="s">
        <v>38</v>
      </c>
      <c r="L129" s="74" t="s">
        <v>113</v>
      </c>
      <c r="M129" s="74" t="s">
        <v>48</v>
      </c>
      <c r="N129" s="74">
        <v>44.44</v>
      </c>
      <c r="O129" s="74">
        <v>11.86</v>
      </c>
      <c r="P129" s="77">
        <f t="shared" si="5"/>
        <v>32.58</v>
      </c>
      <c r="Q129" s="74">
        <v>545</v>
      </c>
      <c r="R129" s="78">
        <f t="shared" si="6"/>
        <v>17756.099999999999</v>
      </c>
      <c r="S129" s="74"/>
      <c r="T129" s="79"/>
      <c r="V129" s="79" t="s">
        <v>24</v>
      </c>
      <c r="W129" s="80">
        <v>145</v>
      </c>
      <c r="X129" s="81">
        <f t="shared" si="7"/>
        <v>4724.0999999999995</v>
      </c>
      <c r="Y129" s="82">
        <v>260</v>
      </c>
      <c r="Z129" s="79">
        <f t="shared" si="8"/>
        <v>8470.7999999999993</v>
      </c>
      <c r="AA129" s="79">
        <f t="shared" si="9"/>
        <v>30950.999999999996</v>
      </c>
    </row>
    <row r="130" spans="1:27" s="87" customFormat="1" ht="15.75">
      <c r="A130" s="32">
        <v>127</v>
      </c>
      <c r="B130" s="72">
        <v>45936</v>
      </c>
      <c r="C130" s="72">
        <v>45936</v>
      </c>
      <c r="D130" s="94">
        <v>251006023</v>
      </c>
      <c r="E130" s="74" t="s">
        <v>347</v>
      </c>
      <c r="F130" s="74" t="s">
        <v>348</v>
      </c>
      <c r="G130" s="74">
        <v>25</v>
      </c>
      <c r="H130" s="41">
        <v>115</v>
      </c>
      <c r="I130" s="36" t="s">
        <v>46</v>
      </c>
      <c r="J130" s="42" t="s">
        <v>23</v>
      </c>
      <c r="K130" s="43" t="s">
        <v>38</v>
      </c>
      <c r="L130" s="74" t="s">
        <v>236</v>
      </c>
      <c r="M130" s="74" t="s">
        <v>48</v>
      </c>
      <c r="N130" s="88">
        <v>64.72</v>
      </c>
      <c r="O130" s="88">
        <v>18.059999999999999</v>
      </c>
      <c r="P130" s="77">
        <f t="shared" si="5"/>
        <v>46.66</v>
      </c>
      <c r="Q130" s="74">
        <v>545</v>
      </c>
      <c r="R130" s="78">
        <f t="shared" si="6"/>
        <v>25429.699999999997</v>
      </c>
      <c r="S130" s="74"/>
      <c r="T130" s="79"/>
      <c r="V130" s="79" t="s">
        <v>24</v>
      </c>
      <c r="W130" s="80">
        <v>145</v>
      </c>
      <c r="X130" s="81">
        <f t="shared" si="7"/>
        <v>6765.7</v>
      </c>
      <c r="Y130" s="82">
        <v>260</v>
      </c>
      <c r="Z130" s="79">
        <f t="shared" si="8"/>
        <v>12131.599999999999</v>
      </c>
      <c r="AA130" s="79">
        <f t="shared" si="9"/>
        <v>44327</v>
      </c>
    </row>
    <row r="131" spans="1:27" s="83" customFormat="1" ht="15.75">
      <c r="A131" s="32">
        <v>128</v>
      </c>
      <c r="B131" s="72">
        <v>45936</v>
      </c>
      <c r="C131" s="72">
        <v>45936</v>
      </c>
      <c r="D131" s="53">
        <v>251006024</v>
      </c>
      <c r="E131" s="74" t="s">
        <v>349</v>
      </c>
      <c r="F131" s="74" t="s">
        <v>350</v>
      </c>
      <c r="G131" s="74">
        <v>25</v>
      </c>
      <c r="H131" s="41">
        <v>115</v>
      </c>
      <c r="I131" s="36" t="s">
        <v>46</v>
      </c>
      <c r="J131" s="42" t="s">
        <v>23</v>
      </c>
      <c r="K131" s="43" t="s">
        <v>38</v>
      </c>
      <c r="L131" s="74" t="s">
        <v>70</v>
      </c>
      <c r="M131" s="74" t="s">
        <v>55</v>
      </c>
      <c r="N131" s="88">
        <v>50.38</v>
      </c>
      <c r="O131" s="88">
        <v>12.16</v>
      </c>
      <c r="P131" s="77">
        <f t="shared" si="5"/>
        <v>38.22</v>
      </c>
      <c r="Q131" s="74">
        <v>445</v>
      </c>
      <c r="R131" s="78">
        <f t="shared" si="6"/>
        <v>17007.899999999998</v>
      </c>
      <c r="S131" s="74"/>
      <c r="T131" s="79"/>
      <c r="V131" s="79" t="s">
        <v>24</v>
      </c>
      <c r="W131" s="80">
        <v>145</v>
      </c>
      <c r="X131" s="81">
        <f t="shared" si="7"/>
        <v>5541.9</v>
      </c>
      <c r="Y131" s="82">
        <v>260</v>
      </c>
      <c r="Z131" s="79">
        <f t="shared" si="8"/>
        <v>9937.1999999999989</v>
      </c>
      <c r="AA131" s="79">
        <f t="shared" si="9"/>
        <v>32486.999999999993</v>
      </c>
    </row>
    <row r="132" spans="1:27" s="83" customFormat="1" ht="15.75">
      <c r="A132" s="32">
        <v>129</v>
      </c>
      <c r="B132" s="72">
        <v>45936</v>
      </c>
      <c r="C132" s="72">
        <v>45936</v>
      </c>
      <c r="D132" s="53">
        <v>251006025</v>
      </c>
      <c r="E132" s="74" t="s">
        <v>351</v>
      </c>
      <c r="F132" s="74" t="s">
        <v>352</v>
      </c>
      <c r="G132" s="74">
        <v>25</v>
      </c>
      <c r="H132" s="41">
        <v>115</v>
      </c>
      <c r="I132" s="36" t="s">
        <v>46</v>
      </c>
      <c r="J132" s="42" t="s">
        <v>23</v>
      </c>
      <c r="K132" s="43" t="s">
        <v>38</v>
      </c>
      <c r="L132" s="74" t="s">
        <v>89</v>
      </c>
      <c r="M132" s="74" t="s">
        <v>55</v>
      </c>
      <c r="N132" s="88">
        <v>48.08</v>
      </c>
      <c r="O132" s="88">
        <v>11.76</v>
      </c>
      <c r="P132" s="77">
        <f t="shared" ref="P132:P195" si="10">N132-O132</f>
        <v>36.32</v>
      </c>
      <c r="Q132" s="74">
        <v>445</v>
      </c>
      <c r="R132" s="78">
        <f t="shared" ref="R132:R195" si="11">Q132*P132</f>
        <v>16162.4</v>
      </c>
      <c r="S132" s="74"/>
      <c r="T132" s="79"/>
      <c r="V132" s="79" t="s">
        <v>24</v>
      </c>
      <c r="W132" s="80">
        <v>145</v>
      </c>
      <c r="X132" s="81">
        <f t="shared" ref="X132:X195" si="12">W132*P132</f>
        <v>5266.4</v>
      </c>
      <c r="Y132" s="82">
        <v>260</v>
      </c>
      <c r="Z132" s="79">
        <f t="shared" ref="Z132:Z195" si="13">Y132*P132</f>
        <v>9443.2000000000007</v>
      </c>
      <c r="AA132" s="79">
        <f t="shared" ref="AA132:AA195" si="14">R132+X132+Z132</f>
        <v>30872</v>
      </c>
    </row>
    <row r="133" spans="1:27" s="83" customFormat="1" ht="15.75">
      <c r="A133" s="32">
        <v>130</v>
      </c>
      <c r="B133" s="72">
        <v>45936</v>
      </c>
      <c r="C133" s="72">
        <v>45936</v>
      </c>
      <c r="D133" s="53">
        <v>251006026</v>
      </c>
      <c r="E133" s="74" t="s">
        <v>353</v>
      </c>
      <c r="F133" s="74" t="s">
        <v>354</v>
      </c>
      <c r="G133" s="74">
        <v>25</v>
      </c>
      <c r="H133" s="41">
        <v>115</v>
      </c>
      <c r="I133" s="36" t="s">
        <v>46</v>
      </c>
      <c r="J133" s="42" t="s">
        <v>23</v>
      </c>
      <c r="K133" s="43" t="s">
        <v>38</v>
      </c>
      <c r="L133" s="74" t="s">
        <v>47</v>
      </c>
      <c r="M133" s="74" t="s">
        <v>55</v>
      </c>
      <c r="N133" s="74">
        <v>64.56</v>
      </c>
      <c r="O133" s="88">
        <v>15.88</v>
      </c>
      <c r="P133" s="77">
        <f t="shared" si="10"/>
        <v>48.68</v>
      </c>
      <c r="Q133" s="74">
        <v>445</v>
      </c>
      <c r="R133" s="78">
        <f t="shared" si="11"/>
        <v>21662.6</v>
      </c>
      <c r="S133" s="74"/>
      <c r="T133" s="79"/>
      <c r="V133" s="79" t="s">
        <v>24</v>
      </c>
      <c r="W133" s="80">
        <v>145</v>
      </c>
      <c r="X133" s="81">
        <f t="shared" si="12"/>
        <v>7058.6</v>
      </c>
      <c r="Y133" s="82">
        <v>260</v>
      </c>
      <c r="Z133" s="79">
        <f t="shared" si="13"/>
        <v>12656.8</v>
      </c>
      <c r="AA133" s="79">
        <f t="shared" si="14"/>
        <v>41378</v>
      </c>
    </row>
    <row r="134" spans="1:27" s="83" customFormat="1" ht="15.75">
      <c r="A134" s="32">
        <v>131</v>
      </c>
      <c r="B134" s="72">
        <v>45936</v>
      </c>
      <c r="C134" s="72">
        <v>45936</v>
      </c>
      <c r="D134" s="53">
        <v>251006027</v>
      </c>
      <c r="E134" s="74" t="s">
        <v>355</v>
      </c>
      <c r="F134" s="74" t="s">
        <v>356</v>
      </c>
      <c r="G134" s="74">
        <v>25</v>
      </c>
      <c r="H134" s="41">
        <v>115</v>
      </c>
      <c r="I134" s="36" t="s">
        <v>46</v>
      </c>
      <c r="J134" s="42" t="s">
        <v>23</v>
      </c>
      <c r="K134" s="43" t="s">
        <v>38</v>
      </c>
      <c r="L134" s="74" t="s">
        <v>125</v>
      </c>
      <c r="M134" s="74" t="s">
        <v>55</v>
      </c>
      <c r="N134" s="88">
        <v>66.28</v>
      </c>
      <c r="O134" s="88">
        <v>15.84</v>
      </c>
      <c r="P134" s="77">
        <f t="shared" si="10"/>
        <v>50.44</v>
      </c>
      <c r="Q134" s="74">
        <v>445</v>
      </c>
      <c r="R134" s="78">
        <f t="shared" si="11"/>
        <v>22445.8</v>
      </c>
      <c r="S134" s="74"/>
      <c r="T134" s="79"/>
      <c r="V134" s="79" t="s">
        <v>24</v>
      </c>
      <c r="W134" s="80">
        <v>145</v>
      </c>
      <c r="X134" s="81">
        <f t="shared" si="12"/>
        <v>7313.7999999999993</v>
      </c>
      <c r="Y134" s="82">
        <v>260</v>
      </c>
      <c r="Z134" s="79">
        <f t="shared" si="13"/>
        <v>13114.4</v>
      </c>
      <c r="AA134" s="79">
        <f t="shared" si="14"/>
        <v>42874</v>
      </c>
    </row>
    <row r="135" spans="1:27" s="83" customFormat="1" ht="15.75">
      <c r="A135" s="32">
        <v>132</v>
      </c>
      <c r="B135" s="72">
        <v>45936</v>
      </c>
      <c r="C135" s="72">
        <v>45936</v>
      </c>
      <c r="D135" s="53">
        <v>251006028</v>
      </c>
      <c r="E135" s="74" t="s">
        <v>357</v>
      </c>
      <c r="F135" s="74" t="s">
        <v>358</v>
      </c>
      <c r="G135" s="74">
        <v>25</v>
      </c>
      <c r="H135" s="41">
        <v>115</v>
      </c>
      <c r="I135" s="36" t="s">
        <v>46</v>
      </c>
      <c r="J135" s="42" t="s">
        <v>23</v>
      </c>
      <c r="K135" s="43" t="s">
        <v>38</v>
      </c>
      <c r="L135" s="74" t="s">
        <v>61</v>
      </c>
      <c r="M135" s="74" t="s">
        <v>55</v>
      </c>
      <c r="N135" s="88">
        <v>60.9</v>
      </c>
      <c r="O135" s="74">
        <v>15.68</v>
      </c>
      <c r="P135" s="77">
        <f t="shared" si="10"/>
        <v>45.22</v>
      </c>
      <c r="Q135" s="74">
        <v>445</v>
      </c>
      <c r="R135" s="78">
        <f t="shared" si="11"/>
        <v>20122.899999999998</v>
      </c>
      <c r="S135" s="74"/>
      <c r="T135" s="79"/>
      <c r="V135" s="79" t="s">
        <v>24</v>
      </c>
      <c r="W135" s="80">
        <v>145</v>
      </c>
      <c r="X135" s="81">
        <f t="shared" si="12"/>
        <v>6556.9</v>
      </c>
      <c r="Y135" s="82">
        <v>260</v>
      </c>
      <c r="Z135" s="79">
        <f t="shared" si="13"/>
        <v>11757.199999999999</v>
      </c>
      <c r="AA135" s="79">
        <f t="shared" si="14"/>
        <v>38436.999999999993</v>
      </c>
    </row>
    <row r="136" spans="1:27" s="87" customFormat="1" ht="15.75">
      <c r="A136" s="32">
        <v>133</v>
      </c>
      <c r="B136" s="72">
        <v>45936</v>
      </c>
      <c r="C136" s="72">
        <v>45936</v>
      </c>
      <c r="D136" s="53">
        <v>251006029</v>
      </c>
      <c r="E136" s="74" t="s">
        <v>359</v>
      </c>
      <c r="F136" s="74" t="s">
        <v>360</v>
      </c>
      <c r="G136" s="74">
        <v>25</v>
      </c>
      <c r="H136" s="41">
        <v>115</v>
      </c>
      <c r="I136" s="36" t="s">
        <v>46</v>
      </c>
      <c r="J136" s="42" t="s">
        <v>23</v>
      </c>
      <c r="K136" s="43" t="s">
        <v>38</v>
      </c>
      <c r="L136" s="74" t="s">
        <v>58</v>
      </c>
      <c r="M136" s="74" t="s">
        <v>48</v>
      </c>
      <c r="N136" s="74">
        <v>65.400000000000006</v>
      </c>
      <c r="O136" s="88">
        <v>16.16</v>
      </c>
      <c r="P136" s="77">
        <f t="shared" si="10"/>
        <v>49.240000000000009</v>
      </c>
      <c r="Q136" s="74">
        <v>545</v>
      </c>
      <c r="R136" s="78">
        <f t="shared" si="11"/>
        <v>26835.800000000007</v>
      </c>
      <c r="S136" s="74"/>
      <c r="T136" s="79"/>
      <c r="V136" s="79" t="s">
        <v>24</v>
      </c>
      <c r="W136" s="80">
        <v>145</v>
      </c>
      <c r="X136" s="81">
        <f t="shared" si="12"/>
        <v>7139.8000000000011</v>
      </c>
      <c r="Y136" s="82">
        <v>260</v>
      </c>
      <c r="Z136" s="79">
        <f t="shared" si="13"/>
        <v>12802.400000000001</v>
      </c>
      <c r="AA136" s="79">
        <f t="shared" si="14"/>
        <v>46778.000000000007</v>
      </c>
    </row>
    <row r="137" spans="1:27" s="83" customFormat="1" ht="15.75">
      <c r="A137" s="32">
        <v>134</v>
      </c>
      <c r="B137" s="72">
        <v>45936</v>
      </c>
      <c r="C137" s="72">
        <v>45936</v>
      </c>
      <c r="D137" s="53">
        <v>251006030</v>
      </c>
      <c r="E137" s="74" t="s">
        <v>361</v>
      </c>
      <c r="F137" s="74" t="s">
        <v>362</v>
      </c>
      <c r="G137" s="74">
        <v>25</v>
      </c>
      <c r="H137" s="41">
        <v>115</v>
      </c>
      <c r="I137" s="36" t="s">
        <v>46</v>
      </c>
      <c r="J137" s="42" t="s">
        <v>23</v>
      </c>
      <c r="K137" s="43" t="s">
        <v>38</v>
      </c>
      <c r="L137" s="74" t="s">
        <v>51</v>
      </c>
      <c r="M137" s="74" t="s">
        <v>48</v>
      </c>
      <c r="N137" s="88">
        <v>60.74</v>
      </c>
      <c r="O137" s="88">
        <v>15.42</v>
      </c>
      <c r="P137" s="77">
        <f t="shared" si="10"/>
        <v>45.32</v>
      </c>
      <c r="Q137" s="74">
        <v>545</v>
      </c>
      <c r="R137" s="78">
        <f t="shared" si="11"/>
        <v>24699.4</v>
      </c>
      <c r="S137" s="74"/>
      <c r="T137" s="79"/>
      <c r="V137" s="79" t="s">
        <v>24</v>
      </c>
      <c r="W137" s="80">
        <v>145</v>
      </c>
      <c r="X137" s="81">
        <f t="shared" si="12"/>
        <v>6571.4</v>
      </c>
      <c r="Y137" s="82">
        <v>260</v>
      </c>
      <c r="Z137" s="79">
        <f t="shared" si="13"/>
        <v>11783.2</v>
      </c>
      <c r="AA137" s="79">
        <f t="shared" si="14"/>
        <v>43054</v>
      </c>
    </row>
    <row r="138" spans="1:27" s="83" customFormat="1" ht="15.75">
      <c r="A138" s="32">
        <v>135</v>
      </c>
      <c r="B138" s="72">
        <v>45936</v>
      </c>
      <c r="C138" s="72">
        <v>45936</v>
      </c>
      <c r="D138" s="53">
        <v>251006031</v>
      </c>
      <c r="E138" s="74" t="s">
        <v>363</v>
      </c>
      <c r="F138" s="74" t="s">
        <v>364</v>
      </c>
      <c r="G138" s="74">
        <v>25</v>
      </c>
      <c r="H138" s="41">
        <v>115</v>
      </c>
      <c r="I138" s="36" t="s">
        <v>46</v>
      </c>
      <c r="J138" s="42" t="s">
        <v>23</v>
      </c>
      <c r="K138" s="43" t="s">
        <v>38</v>
      </c>
      <c r="L138" s="74" t="s">
        <v>67</v>
      </c>
      <c r="M138" s="74" t="s">
        <v>55</v>
      </c>
      <c r="N138" s="88">
        <v>62.02</v>
      </c>
      <c r="O138" s="74">
        <v>15.74</v>
      </c>
      <c r="P138" s="77">
        <f t="shared" si="10"/>
        <v>46.28</v>
      </c>
      <c r="Q138" s="74">
        <v>445</v>
      </c>
      <c r="R138" s="78">
        <f t="shared" si="11"/>
        <v>20594.600000000002</v>
      </c>
      <c r="S138" s="74"/>
      <c r="T138" s="79"/>
      <c r="V138" s="79" t="s">
        <v>24</v>
      </c>
      <c r="W138" s="80">
        <v>145</v>
      </c>
      <c r="X138" s="81">
        <f t="shared" si="12"/>
        <v>6710.6</v>
      </c>
      <c r="Y138" s="82">
        <v>260</v>
      </c>
      <c r="Z138" s="79">
        <f t="shared" si="13"/>
        <v>12032.800000000001</v>
      </c>
      <c r="AA138" s="79">
        <f t="shared" si="14"/>
        <v>39338.000000000007</v>
      </c>
    </row>
    <row r="139" spans="1:27" s="83" customFormat="1" ht="15.75">
      <c r="A139" s="32">
        <v>136</v>
      </c>
      <c r="B139" s="72">
        <v>45936</v>
      </c>
      <c r="C139" s="72">
        <v>45936</v>
      </c>
      <c r="D139" s="53">
        <v>251006032</v>
      </c>
      <c r="E139" s="74" t="s">
        <v>365</v>
      </c>
      <c r="F139" s="74" t="s">
        <v>366</v>
      </c>
      <c r="G139" s="74">
        <v>25</v>
      </c>
      <c r="H139" s="33">
        <v>24</v>
      </c>
      <c r="I139" s="34" t="s">
        <v>37</v>
      </c>
      <c r="J139" s="35" t="s">
        <v>23</v>
      </c>
      <c r="K139" s="36" t="s">
        <v>38</v>
      </c>
      <c r="L139" s="74" t="s">
        <v>134</v>
      </c>
      <c r="M139" s="74" t="s">
        <v>55</v>
      </c>
      <c r="N139" s="88">
        <v>65.739999999999995</v>
      </c>
      <c r="O139" s="88">
        <v>15.6</v>
      </c>
      <c r="P139" s="77">
        <f t="shared" si="10"/>
        <v>50.139999999999993</v>
      </c>
      <c r="Q139" s="74">
        <v>445</v>
      </c>
      <c r="R139" s="78">
        <f t="shared" si="11"/>
        <v>22312.299999999996</v>
      </c>
      <c r="S139" s="74"/>
      <c r="T139" s="79"/>
      <c r="V139" s="79" t="s">
        <v>24</v>
      </c>
      <c r="W139" s="80">
        <v>145</v>
      </c>
      <c r="X139" s="81">
        <f t="shared" si="12"/>
        <v>7270.2999999999993</v>
      </c>
      <c r="Y139" s="82">
        <v>260</v>
      </c>
      <c r="Z139" s="79">
        <f t="shared" si="13"/>
        <v>13036.399999999998</v>
      </c>
      <c r="AA139" s="79">
        <f t="shared" si="14"/>
        <v>42618.999999999993</v>
      </c>
    </row>
    <row r="140" spans="1:27" s="83" customFormat="1" ht="15.75">
      <c r="A140" s="32">
        <v>137</v>
      </c>
      <c r="B140" s="72">
        <v>45936</v>
      </c>
      <c r="C140" s="72">
        <v>45936</v>
      </c>
      <c r="D140" s="53">
        <v>251006033</v>
      </c>
      <c r="E140" s="74" t="s">
        <v>367</v>
      </c>
      <c r="F140" s="74" t="s">
        <v>368</v>
      </c>
      <c r="G140" s="74">
        <v>25</v>
      </c>
      <c r="H140" s="33">
        <v>24</v>
      </c>
      <c r="I140" s="34" t="s">
        <v>37</v>
      </c>
      <c r="J140" s="35" t="s">
        <v>23</v>
      </c>
      <c r="K140" s="36" t="s">
        <v>38</v>
      </c>
      <c r="L140" s="74" t="s">
        <v>54</v>
      </c>
      <c r="M140" s="74" t="s">
        <v>55</v>
      </c>
      <c r="N140" s="88">
        <v>67.760000000000005</v>
      </c>
      <c r="O140" s="88">
        <v>16.82</v>
      </c>
      <c r="P140" s="77">
        <f t="shared" si="10"/>
        <v>50.940000000000005</v>
      </c>
      <c r="Q140" s="74">
        <v>445</v>
      </c>
      <c r="R140" s="78">
        <f t="shared" si="11"/>
        <v>22668.300000000003</v>
      </c>
      <c r="S140" s="74"/>
      <c r="T140" s="79"/>
      <c r="V140" s="79" t="s">
        <v>24</v>
      </c>
      <c r="W140" s="80">
        <v>145</v>
      </c>
      <c r="X140" s="81">
        <f t="shared" si="12"/>
        <v>7386.3000000000011</v>
      </c>
      <c r="Y140" s="82">
        <v>260</v>
      </c>
      <c r="Z140" s="79">
        <f t="shared" si="13"/>
        <v>13244.400000000001</v>
      </c>
      <c r="AA140" s="79">
        <f t="shared" si="14"/>
        <v>43299.000000000007</v>
      </c>
    </row>
    <row r="141" spans="1:27" s="83" customFormat="1" ht="15.75">
      <c r="A141" s="32">
        <v>138</v>
      </c>
      <c r="B141" s="72">
        <v>45936</v>
      </c>
      <c r="C141" s="72">
        <v>45936</v>
      </c>
      <c r="D141" s="53">
        <v>251006034</v>
      </c>
      <c r="E141" s="74" t="s">
        <v>369</v>
      </c>
      <c r="F141" s="74" t="s">
        <v>370</v>
      </c>
      <c r="G141" s="74">
        <v>25</v>
      </c>
      <c r="H141" s="33">
        <v>24</v>
      </c>
      <c r="I141" s="34" t="s">
        <v>37</v>
      </c>
      <c r="J141" s="35" t="s">
        <v>23</v>
      </c>
      <c r="K141" s="36" t="s">
        <v>38</v>
      </c>
      <c r="L141" s="74" t="s">
        <v>311</v>
      </c>
      <c r="M141" s="74" t="s">
        <v>55</v>
      </c>
      <c r="N141" s="74">
        <v>48.06</v>
      </c>
      <c r="O141" s="74">
        <v>11.46</v>
      </c>
      <c r="P141" s="77">
        <f t="shared" si="10"/>
        <v>36.6</v>
      </c>
      <c r="Q141" s="74">
        <v>445</v>
      </c>
      <c r="R141" s="78">
        <f t="shared" si="11"/>
        <v>16287</v>
      </c>
      <c r="S141" s="74"/>
      <c r="T141" s="79"/>
      <c r="V141" s="79" t="s">
        <v>24</v>
      </c>
      <c r="W141" s="80">
        <v>145</v>
      </c>
      <c r="X141" s="81">
        <f t="shared" si="12"/>
        <v>5307</v>
      </c>
      <c r="Y141" s="82">
        <v>260</v>
      </c>
      <c r="Z141" s="79">
        <f t="shared" si="13"/>
        <v>9516</v>
      </c>
      <c r="AA141" s="79">
        <f t="shared" si="14"/>
        <v>31110</v>
      </c>
    </row>
    <row r="142" spans="1:27" s="83" customFormat="1" ht="15.75">
      <c r="A142" s="32">
        <v>139</v>
      </c>
      <c r="B142" s="72">
        <v>45936</v>
      </c>
      <c r="C142" s="72">
        <v>45936</v>
      </c>
      <c r="D142" s="53">
        <v>251006035</v>
      </c>
      <c r="E142" s="74" t="s">
        <v>371</v>
      </c>
      <c r="F142" s="74" t="s">
        <v>372</v>
      </c>
      <c r="G142" s="74">
        <v>25</v>
      </c>
      <c r="H142" s="33">
        <v>24</v>
      </c>
      <c r="I142" s="34" t="s">
        <v>37</v>
      </c>
      <c r="J142" s="35" t="s">
        <v>23</v>
      </c>
      <c r="K142" s="36" t="s">
        <v>38</v>
      </c>
      <c r="L142" s="74" t="s">
        <v>116</v>
      </c>
      <c r="M142" s="74" t="s">
        <v>55</v>
      </c>
      <c r="N142" s="88">
        <v>61.72</v>
      </c>
      <c r="O142" s="88">
        <v>14.9</v>
      </c>
      <c r="P142" s="77">
        <f t="shared" si="10"/>
        <v>46.82</v>
      </c>
      <c r="Q142" s="74">
        <v>445</v>
      </c>
      <c r="R142" s="78">
        <f t="shared" si="11"/>
        <v>20834.900000000001</v>
      </c>
      <c r="S142" s="74"/>
      <c r="T142" s="79"/>
      <c r="V142" s="79" t="s">
        <v>24</v>
      </c>
      <c r="W142" s="80">
        <v>145</v>
      </c>
      <c r="X142" s="81">
        <f t="shared" si="12"/>
        <v>6788.9</v>
      </c>
      <c r="Y142" s="82">
        <v>260</v>
      </c>
      <c r="Z142" s="79">
        <f t="shared" si="13"/>
        <v>12173.2</v>
      </c>
      <c r="AA142" s="79">
        <f t="shared" si="14"/>
        <v>39797</v>
      </c>
    </row>
    <row r="143" spans="1:27" s="83" customFormat="1" ht="15.75">
      <c r="A143" s="32">
        <v>140</v>
      </c>
      <c r="B143" s="72">
        <v>45936</v>
      </c>
      <c r="C143" s="72">
        <v>45936</v>
      </c>
      <c r="D143" s="53" t="s">
        <v>373</v>
      </c>
      <c r="E143" s="74"/>
      <c r="F143" s="74"/>
      <c r="G143" s="74"/>
      <c r="H143" s="69">
        <v>285</v>
      </c>
      <c r="I143" s="70" t="s">
        <v>215</v>
      </c>
      <c r="J143" s="42" t="s">
        <v>23</v>
      </c>
      <c r="K143" s="36" t="s">
        <v>38</v>
      </c>
      <c r="L143" s="74" t="s">
        <v>149</v>
      </c>
      <c r="M143" s="74" t="s">
        <v>31</v>
      </c>
      <c r="N143" s="74">
        <v>47.2</v>
      </c>
      <c r="O143" s="74">
        <v>12.46</v>
      </c>
      <c r="P143" s="77">
        <f t="shared" si="10"/>
        <v>34.74</v>
      </c>
      <c r="Q143" s="74">
        <v>130</v>
      </c>
      <c r="R143" s="78">
        <f t="shared" si="11"/>
        <v>4516.2</v>
      </c>
      <c r="S143" s="74"/>
      <c r="T143" s="79"/>
      <c r="V143" s="79" t="s">
        <v>217</v>
      </c>
      <c r="W143" s="74"/>
      <c r="X143" s="89">
        <f t="shared" si="12"/>
        <v>0</v>
      </c>
      <c r="Y143" s="79"/>
      <c r="Z143" s="79">
        <f t="shared" si="13"/>
        <v>0</v>
      </c>
      <c r="AA143" s="79">
        <f t="shared" si="14"/>
        <v>4516.2</v>
      </c>
    </row>
    <row r="144" spans="1:27" s="83" customFormat="1" ht="15.75">
      <c r="A144" s="32">
        <v>141</v>
      </c>
      <c r="B144" s="72">
        <v>45936</v>
      </c>
      <c r="C144" s="72">
        <v>45937</v>
      </c>
      <c r="D144" s="68" t="s">
        <v>374</v>
      </c>
      <c r="E144" s="74"/>
      <c r="F144" s="74"/>
      <c r="G144" s="74"/>
      <c r="H144" s="69">
        <v>285</v>
      </c>
      <c r="I144" s="70" t="s">
        <v>215</v>
      </c>
      <c r="J144" s="42" t="s">
        <v>23</v>
      </c>
      <c r="K144" s="36" t="s">
        <v>38</v>
      </c>
      <c r="L144" s="74" t="s">
        <v>190</v>
      </c>
      <c r="M144" s="74" t="s">
        <v>31</v>
      </c>
      <c r="N144" s="88">
        <v>48.06</v>
      </c>
      <c r="O144" s="88">
        <v>11.88</v>
      </c>
      <c r="P144" s="77">
        <f t="shared" si="10"/>
        <v>36.18</v>
      </c>
      <c r="Q144" s="74">
        <v>130</v>
      </c>
      <c r="R144" s="78">
        <f t="shared" si="11"/>
        <v>4703.3999999999996</v>
      </c>
      <c r="S144" s="74"/>
      <c r="T144" s="79"/>
      <c r="V144" s="79" t="s">
        <v>217</v>
      </c>
      <c r="W144" s="74"/>
      <c r="X144" s="89">
        <f t="shared" si="12"/>
        <v>0</v>
      </c>
      <c r="Y144" s="79"/>
      <c r="Z144" s="79">
        <f t="shared" si="13"/>
        <v>0</v>
      </c>
      <c r="AA144" s="79">
        <f t="shared" si="14"/>
        <v>4703.3999999999996</v>
      </c>
    </row>
    <row r="145" spans="1:38" s="87" customFormat="1" ht="15.75">
      <c r="A145" s="32">
        <v>142</v>
      </c>
      <c r="B145" s="72">
        <v>45936</v>
      </c>
      <c r="C145" s="72">
        <v>45937</v>
      </c>
      <c r="D145" s="68" t="s">
        <v>375</v>
      </c>
      <c r="E145" s="74"/>
      <c r="F145" s="74"/>
      <c r="G145" s="74"/>
      <c r="H145" s="69">
        <v>285</v>
      </c>
      <c r="I145" s="70" t="s">
        <v>215</v>
      </c>
      <c r="J145" s="42" t="s">
        <v>23</v>
      </c>
      <c r="K145" s="36" t="s">
        <v>38</v>
      </c>
      <c r="L145" s="74" t="s">
        <v>107</v>
      </c>
      <c r="M145" s="74" t="s">
        <v>31</v>
      </c>
      <c r="N145" s="74">
        <v>49.66</v>
      </c>
      <c r="O145" s="88">
        <v>11.94</v>
      </c>
      <c r="P145" s="77">
        <f t="shared" si="10"/>
        <v>37.72</v>
      </c>
      <c r="Q145" s="74">
        <v>130</v>
      </c>
      <c r="R145" s="78">
        <f t="shared" si="11"/>
        <v>4903.5999999999995</v>
      </c>
      <c r="S145" s="74"/>
      <c r="T145" s="79"/>
      <c r="V145" s="79" t="s">
        <v>217</v>
      </c>
      <c r="W145" s="74"/>
      <c r="X145" s="89">
        <f t="shared" si="12"/>
        <v>0</v>
      </c>
      <c r="Y145" s="79"/>
      <c r="Z145" s="79">
        <f t="shared" si="13"/>
        <v>0</v>
      </c>
      <c r="AA145" s="79">
        <f t="shared" si="14"/>
        <v>4903.5999999999995</v>
      </c>
    </row>
    <row r="146" spans="1:38" s="83" customFormat="1" ht="15.75">
      <c r="A146" s="32">
        <v>143</v>
      </c>
      <c r="B146" s="72">
        <v>45936</v>
      </c>
      <c r="C146" s="72">
        <v>45937</v>
      </c>
      <c r="D146" s="68" t="s">
        <v>376</v>
      </c>
      <c r="E146" s="74"/>
      <c r="F146" s="74"/>
      <c r="G146" s="74"/>
      <c r="H146" s="69">
        <v>285</v>
      </c>
      <c r="I146" s="70" t="s">
        <v>215</v>
      </c>
      <c r="J146" s="42" t="s">
        <v>23</v>
      </c>
      <c r="K146" s="36" t="s">
        <v>38</v>
      </c>
      <c r="L146" s="74" t="s">
        <v>377</v>
      </c>
      <c r="M146" s="74" t="s">
        <v>31</v>
      </c>
      <c r="N146" s="74">
        <v>51.48</v>
      </c>
      <c r="O146" s="88">
        <v>11.94</v>
      </c>
      <c r="P146" s="77">
        <f t="shared" si="10"/>
        <v>39.54</v>
      </c>
      <c r="Q146" s="74">
        <v>130</v>
      </c>
      <c r="R146" s="78">
        <f t="shared" si="11"/>
        <v>5140.2</v>
      </c>
      <c r="S146" s="74"/>
      <c r="T146" s="79"/>
      <c r="V146" s="79" t="s">
        <v>217</v>
      </c>
      <c r="W146" s="74"/>
      <c r="X146" s="89">
        <f t="shared" si="12"/>
        <v>0</v>
      </c>
      <c r="Y146" s="79"/>
      <c r="Z146" s="79">
        <f t="shared" si="13"/>
        <v>0</v>
      </c>
      <c r="AA146" s="79">
        <f t="shared" si="14"/>
        <v>5140.2</v>
      </c>
    </row>
    <row r="147" spans="1:38" s="83" customFormat="1" ht="15.75">
      <c r="A147" s="32">
        <v>144</v>
      </c>
      <c r="B147" s="72">
        <v>45936</v>
      </c>
      <c r="C147" s="72">
        <v>45937</v>
      </c>
      <c r="D147" s="68" t="s">
        <v>378</v>
      </c>
      <c r="E147" s="74"/>
      <c r="F147" s="74"/>
      <c r="G147" s="74"/>
      <c r="H147" s="69">
        <v>285</v>
      </c>
      <c r="I147" s="70" t="s">
        <v>215</v>
      </c>
      <c r="J147" s="42" t="s">
        <v>23</v>
      </c>
      <c r="K147" s="36" t="s">
        <v>38</v>
      </c>
      <c r="L147" s="74" t="s">
        <v>110</v>
      </c>
      <c r="M147" s="74" t="s">
        <v>31</v>
      </c>
      <c r="N147" s="74">
        <v>53.26</v>
      </c>
      <c r="O147" s="88">
        <v>11.78</v>
      </c>
      <c r="P147" s="77">
        <f t="shared" si="10"/>
        <v>41.48</v>
      </c>
      <c r="Q147" s="74">
        <v>130</v>
      </c>
      <c r="R147" s="78">
        <f t="shared" si="11"/>
        <v>5392.4</v>
      </c>
      <c r="S147" s="74"/>
      <c r="T147" s="79"/>
      <c r="V147" s="79" t="s">
        <v>217</v>
      </c>
      <c r="W147" s="74"/>
      <c r="X147" s="89">
        <f t="shared" si="12"/>
        <v>0</v>
      </c>
      <c r="Y147" s="79"/>
      <c r="Z147" s="79">
        <f t="shared" si="13"/>
        <v>0</v>
      </c>
      <c r="AA147" s="79">
        <f t="shared" si="14"/>
        <v>5392.4</v>
      </c>
    </row>
    <row r="148" spans="1:38" s="83" customFormat="1" ht="15.75">
      <c r="A148" s="32">
        <v>145</v>
      </c>
      <c r="B148" s="72">
        <v>45936</v>
      </c>
      <c r="C148" s="72">
        <v>45937</v>
      </c>
      <c r="D148" s="68" t="s">
        <v>379</v>
      </c>
      <c r="E148" s="74"/>
      <c r="F148" s="74"/>
      <c r="G148" s="74"/>
      <c r="H148" s="69">
        <v>285</v>
      </c>
      <c r="I148" s="70" t="s">
        <v>215</v>
      </c>
      <c r="J148" s="42" t="s">
        <v>23</v>
      </c>
      <c r="K148" s="36" t="s">
        <v>38</v>
      </c>
      <c r="L148" s="74" t="s">
        <v>149</v>
      </c>
      <c r="M148" s="74" t="s">
        <v>31</v>
      </c>
      <c r="N148" s="74">
        <v>44.38</v>
      </c>
      <c r="O148" s="74">
        <v>12.68</v>
      </c>
      <c r="P148" s="77">
        <f t="shared" si="10"/>
        <v>31.700000000000003</v>
      </c>
      <c r="Q148" s="74">
        <v>130</v>
      </c>
      <c r="R148" s="78">
        <f t="shared" si="11"/>
        <v>4121</v>
      </c>
      <c r="S148" s="74"/>
      <c r="T148" s="79"/>
      <c r="V148" s="79" t="s">
        <v>217</v>
      </c>
      <c r="W148" s="74"/>
      <c r="X148" s="89">
        <f t="shared" si="12"/>
        <v>0</v>
      </c>
      <c r="Y148" s="79"/>
      <c r="Z148" s="79">
        <f t="shared" si="13"/>
        <v>0</v>
      </c>
      <c r="AA148" s="79">
        <f t="shared" si="14"/>
        <v>4121</v>
      </c>
    </row>
    <row r="149" spans="1:38" s="83" customFormat="1" ht="15.75">
      <c r="A149" s="32">
        <v>146</v>
      </c>
      <c r="B149" s="72">
        <v>45936</v>
      </c>
      <c r="C149" s="72">
        <v>45937</v>
      </c>
      <c r="D149" s="68" t="s">
        <v>380</v>
      </c>
      <c r="E149" s="74"/>
      <c r="F149" s="74"/>
      <c r="G149" s="74"/>
      <c r="H149" s="29"/>
      <c r="I149" s="29" t="s">
        <v>381</v>
      </c>
      <c r="J149" s="42" t="s">
        <v>23</v>
      </c>
      <c r="K149" s="29" t="s">
        <v>30</v>
      </c>
      <c r="L149" s="74" t="s">
        <v>382</v>
      </c>
      <c r="M149" s="74" t="s">
        <v>48</v>
      </c>
      <c r="N149" s="74">
        <v>8.68</v>
      </c>
      <c r="O149" s="88">
        <v>3.62</v>
      </c>
      <c r="P149" s="77">
        <f t="shared" si="10"/>
        <v>5.0599999999999996</v>
      </c>
      <c r="Q149" s="74">
        <v>550</v>
      </c>
      <c r="R149" s="78">
        <f t="shared" si="11"/>
        <v>2783</v>
      </c>
      <c r="S149" s="74">
        <v>2790</v>
      </c>
      <c r="T149" s="79"/>
      <c r="V149" s="79" t="s">
        <v>24</v>
      </c>
      <c r="W149" s="74"/>
      <c r="X149" s="79">
        <f t="shared" si="12"/>
        <v>0</v>
      </c>
      <c r="Y149" s="79"/>
      <c r="Z149" s="79">
        <f t="shared" si="13"/>
        <v>0</v>
      </c>
      <c r="AA149" s="79">
        <f t="shared" si="14"/>
        <v>2783</v>
      </c>
    </row>
    <row r="150" spans="1:38" s="83" customFormat="1" ht="15.75">
      <c r="A150" s="32">
        <v>147</v>
      </c>
      <c r="B150" s="72">
        <v>45937</v>
      </c>
      <c r="C150" s="72">
        <v>45937</v>
      </c>
      <c r="D150" s="73" t="s">
        <v>383</v>
      </c>
      <c r="E150" s="74"/>
      <c r="F150" s="74"/>
      <c r="G150" s="74"/>
      <c r="H150" s="28"/>
      <c r="I150" s="29" t="s">
        <v>384</v>
      </c>
      <c r="J150" s="75" t="s">
        <v>23</v>
      </c>
      <c r="K150" s="29" t="s">
        <v>30</v>
      </c>
      <c r="L150" s="76" t="s">
        <v>382</v>
      </c>
      <c r="M150" s="74" t="s">
        <v>48</v>
      </c>
      <c r="N150" s="74">
        <v>8.42</v>
      </c>
      <c r="O150" s="74">
        <v>3.48</v>
      </c>
      <c r="P150" s="77">
        <f t="shared" si="10"/>
        <v>4.9399999999999995</v>
      </c>
      <c r="Q150" s="74">
        <v>550</v>
      </c>
      <c r="R150" s="78">
        <f t="shared" si="11"/>
        <v>2716.9999999999995</v>
      </c>
      <c r="S150" s="74">
        <v>2717</v>
      </c>
      <c r="T150" s="79"/>
      <c r="V150" s="79" t="s">
        <v>24</v>
      </c>
      <c r="W150" s="80"/>
      <c r="X150" s="81">
        <f t="shared" si="12"/>
        <v>0</v>
      </c>
      <c r="Y150" s="82"/>
      <c r="Z150" s="79">
        <f t="shared" si="13"/>
        <v>0</v>
      </c>
      <c r="AA150" s="79">
        <f t="shared" si="14"/>
        <v>2716.9999999999995</v>
      </c>
    </row>
    <row r="151" spans="1:38" s="83" customFormat="1" ht="15.75">
      <c r="A151" s="32">
        <v>148</v>
      </c>
      <c r="B151" s="72">
        <v>45937</v>
      </c>
      <c r="C151" s="72">
        <v>45937</v>
      </c>
      <c r="D151" s="73" t="s">
        <v>385</v>
      </c>
      <c r="E151" s="74"/>
      <c r="F151" s="74"/>
      <c r="G151" s="74"/>
      <c r="H151" s="95"/>
      <c r="I151" s="29" t="s">
        <v>386</v>
      </c>
      <c r="J151" s="75" t="s">
        <v>23</v>
      </c>
      <c r="K151" s="29" t="s">
        <v>30</v>
      </c>
      <c r="L151" s="76" t="s">
        <v>299</v>
      </c>
      <c r="M151" s="74" t="s">
        <v>48</v>
      </c>
      <c r="N151" s="74">
        <v>8.9</v>
      </c>
      <c r="O151" s="74">
        <v>3.58</v>
      </c>
      <c r="P151" s="85">
        <f t="shared" si="10"/>
        <v>5.32</v>
      </c>
      <c r="Q151" s="74">
        <v>550</v>
      </c>
      <c r="R151" s="86">
        <f t="shared" si="11"/>
        <v>2926</v>
      </c>
      <c r="S151" s="79">
        <v>2926</v>
      </c>
      <c r="T151" s="82"/>
      <c r="V151" s="79" t="s">
        <v>24</v>
      </c>
      <c r="W151" s="80"/>
      <c r="X151" s="81">
        <f t="shared" si="12"/>
        <v>0</v>
      </c>
      <c r="Y151" s="82"/>
      <c r="Z151" s="82">
        <f t="shared" si="13"/>
        <v>0</v>
      </c>
      <c r="AA151" s="82">
        <f t="shared" si="14"/>
        <v>2926</v>
      </c>
    </row>
    <row r="152" spans="1:38" s="83" customFormat="1" ht="15.75">
      <c r="A152" s="32">
        <v>149</v>
      </c>
      <c r="B152" s="72">
        <v>45937</v>
      </c>
      <c r="C152" s="72">
        <v>45937</v>
      </c>
      <c r="D152" s="73" t="s">
        <v>387</v>
      </c>
      <c r="E152" s="74"/>
      <c r="F152" s="74"/>
      <c r="G152" s="74"/>
      <c r="H152" s="69">
        <v>241</v>
      </c>
      <c r="I152" s="34" t="s">
        <v>388</v>
      </c>
      <c r="J152" s="42" t="s">
        <v>23</v>
      </c>
      <c r="K152" s="29" t="s">
        <v>38</v>
      </c>
      <c r="L152" s="76" t="s">
        <v>389</v>
      </c>
      <c r="M152" s="74" t="s">
        <v>272</v>
      </c>
      <c r="N152" s="74">
        <v>59.48</v>
      </c>
      <c r="O152" s="74">
        <v>15.3</v>
      </c>
      <c r="P152" s="77">
        <f t="shared" si="10"/>
        <v>44.179999999999993</v>
      </c>
      <c r="Q152" s="74">
        <v>250</v>
      </c>
      <c r="R152" s="78">
        <f t="shared" si="11"/>
        <v>11044.999999999998</v>
      </c>
      <c r="S152" s="80"/>
      <c r="T152" s="79"/>
      <c r="V152" s="79" t="s">
        <v>217</v>
      </c>
      <c r="W152" s="80"/>
      <c r="X152" s="81">
        <f t="shared" si="12"/>
        <v>0</v>
      </c>
      <c r="Y152" s="82"/>
      <c r="Z152" s="79">
        <f t="shared" si="13"/>
        <v>0</v>
      </c>
      <c r="AA152" s="79">
        <f t="shared" si="14"/>
        <v>11044.999999999998</v>
      </c>
    </row>
    <row r="153" spans="1:38" s="83" customFormat="1" ht="15.75">
      <c r="A153" s="32">
        <v>150</v>
      </c>
      <c r="B153" s="72">
        <v>45937</v>
      </c>
      <c r="C153" s="72">
        <v>45937</v>
      </c>
      <c r="D153" s="73">
        <v>251007001</v>
      </c>
      <c r="E153" s="74" t="s">
        <v>390</v>
      </c>
      <c r="F153" s="74" t="s">
        <v>391</v>
      </c>
      <c r="G153" s="74">
        <v>25</v>
      </c>
      <c r="H153" s="41">
        <v>113</v>
      </c>
      <c r="I153" s="36" t="s">
        <v>392</v>
      </c>
      <c r="J153" s="42" t="s">
        <v>23</v>
      </c>
      <c r="K153" s="43" t="s">
        <v>38</v>
      </c>
      <c r="L153" s="74" t="s">
        <v>393</v>
      </c>
      <c r="M153" s="74" t="s">
        <v>272</v>
      </c>
      <c r="N153" s="74">
        <v>58.02</v>
      </c>
      <c r="O153" s="74">
        <v>14.5</v>
      </c>
      <c r="P153" s="77">
        <f t="shared" si="10"/>
        <v>43.52</v>
      </c>
      <c r="Q153" s="74">
        <v>270</v>
      </c>
      <c r="R153" s="78">
        <f t="shared" si="11"/>
        <v>11750.400000000001</v>
      </c>
      <c r="S153" s="80"/>
      <c r="T153" s="79"/>
      <c r="V153" s="79" t="s">
        <v>24</v>
      </c>
      <c r="W153" s="80">
        <v>145</v>
      </c>
      <c r="X153" s="81">
        <f t="shared" si="12"/>
        <v>6310.4000000000005</v>
      </c>
      <c r="Y153" s="82">
        <v>260</v>
      </c>
      <c r="Z153" s="79">
        <f t="shared" si="13"/>
        <v>11315.2</v>
      </c>
      <c r="AA153" s="79">
        <f t="shared" si="14"/>
        <v>29376.000000000004</v>
      </c>
    </row>
    <row r="154" spans="1:38" s="83" customFormat="1" ht="15.75">
      <c r="A154" s="32">
        <v>151</v>
      </c>
      <c r="B154" s="72">
        <v>45937</v>
      </c>
      <c r="C154" s="72">
        <v>45937</v>
      </c>
      <c r="D154" s="73">
        <v>251007002</v>
      </c>
      <c r="E154" s="74" t="s">
        <v>394</v>
      </c>
      <c r="F154" s="74" t="s">
        <v>395</v>
      </c>
      <c r="G154" s="74">
        <v>25</v>
      </c>
      <c r="H154" s="41">
        <v>115</v>
      </c>
      <c r="I154" s="36" t="s">
        <v>46</v>
      </c>
      <c r="J154" s="42" t="s">
        <v>23</v>
      </c>
      <c r="K154" s="43" t="s">
        <v>38</v>
      </c>
      <c r="L154" s="74" t="s">
        <v>39</v>
      </c>
      <c r="M154" s="74" t="s">
        <v>40</v>
      </c>
      <c r="N154" s="88">
        <v>40.840000000000003</v>
      </c>
      <c r="O154" s="74">
        <v>10.46</v>
      </c>
      <c r="P154" s="77">
        <f t="shared" si="10"/>
        <v>30.380000000000003</v>
      </c>
      <c r="Q154" s="74">
        <v>315</v>
      </c>
      <c r="R154" s="78">
        <f t="shared" si="11"/>
        <v>9569.7000000000007</v>
      </c>
      <c r="S154" s="74"/>
      <c r="T154" s="79"/>
      <c r="V154" s="79" t="s">
        <v>24</v>
      </c>
      <c r="W154" s="80">
        <v>145</v>
      </c>
      <c r="X154" s="81">
        <f t="shared" si="12"/>
        <v>4405.1000000000004</v>
      </c>
      <c r="Y154" s="82">
        <v>260</v>
      </c>
      <c r="Z154" s="79">
        <f t="shared" si="13"/>
        <v>7898.8000000000011</v>
      </c>
      <c r="AA154" s="79">
        <f t="shared" si="14"/>
        <v>21873.600000000002</v>
      </c>
    </row>
    <row r="155" spans="1:38" s="83" customFormat="1" ht="15.75">
      <c r="A155" s="32">
        <v>152</v>
      </c>
      <c r="B155" s="72">
        <v>45937</v>
      </c>
      <c r="C155" s="72">
        <v>45937</v>
      </c>
      <c r="D155" s="73">
        <v>251007003</v>
      </c>
      <c r="E155" s="74" t="s">
        <v>396</v>
      </c>
      <c r="F155" s="74" t="s">
        <v>397</v>
      </c>
      <c r="G155" s="74">
        <v>25</v>
      </c>
      <c r="H155" s="41">
        <v>115</v>
      </c>
      <c r="I155" s="36" t="s">
        <v>46</v>
      </c>
      <c r="J155" s="42" t="s">
        <v>23</v>
      </c>
      <c r="K155" s="43" t="s">
        <v>38</v>
      </c>
      <c r="L155" s="74" t="s">
        <v>98</v>
      </c>
      <c r="M155" s="74" t="s">
        <v>55</v>
      </c>
      <c r="N155" s="88">
        <v>49.58</v>
      </c>
      <c r="O155" s="88">
        <v>11.76</v>
      </c>
      <c r="P155" s="77">
        <f t="shared" si="10"/>
        <v>37.82</v>
      </c>
      <c r="Q155" s="74">
        <v>445</v>
      </c>
      <c r="R155" s="78">
        <f t="shared" si="11"/>
        <v>16829.900000000001</v>
      </c>
      <c r="S155" s="74"/>
      <c r="T155" s="79"/>
      <c r="V155" s="79" t="s">
        <v>24</v>
      </c>
      <c r="W155" s="80">
        <v>145</v>
      </c>
      <c r="X155" s="81">
        <f t="shared" si="12"/>
        <v>5483.9</v>
      </c>
      <c r="Y155" s="82">
        <v>260</v>
      </c>
      <c r="Z155" s="79">
        <f t="shared" si="13"/>
        <v>9833.2000000000007</v>
      </c>
      <c r="AA155" s="79">
        <f t="shared" si="14"/>
        <v>32147.000000000004</v>
      </c>
    </row>
    <row r="156" spans="1:38" s="83" customFormat="1" ht="15.75">
      <c r="A156" s="32">
        <v>153</v>
      </c>
      <c r="B156" s="72">
        <v>45937</v>
      </c>
      <c r="C156" s="72">
        <v>45937</v>
      </c>
      <c r="D156" s="73">
        <v>251007004</v>
      </c>
      <c r="E156" s="74" t="s">
        <v>398</v>
      </c>
      <c r="F156" s="74" t="s">
        <v>399</v>
      </c>
      <c r="G156" s="74">
        <v>25</v>
      </c>
      <c r="H156" s="41">
        <v>115</v>
      </c>
      <c r="I156" s="36" t="s">
        <v>46</v>
      </c>
      <c r="J156" s="42" t="s">
        <v>23</v>
      </c>
      <c r="K156" s="43" t="s">
        <v>38</v>
      </c>
      <c r="L156" s="74" t="s">
        <v>172</v>
      </c>
      <c r="M156" s="74" t="s">
        <v>48</v>
      </c>
      <c r="N156" s="88">
        <v>73.680000000000007</v>
      </c>
      <c r="O156" s="88">
        <v>17.46</v>
      </c>
      <c r="P156" s="77">
        <f t="shared" si="10"/>
        <v>56.220000000000006</v>
      </c>
      <c r="Q156" s="74">
        <v>545</v>
      </c>
      <c r="R156" s="78">
        <f t="shared" si="11"/>
        <v>30639.9</v>
      </c>
      <c r="S156" s="74"/>
      <c r="T156" s="79"/>
      <c r="V156" s="79" t="s">
        <v>24</v>
      </c>
      <c r="W156" s="80">
        <v>145</v>
      </c>
      <c r="X156" s="81">
        <f t="shared" si="12"/>
        <v>8151.9000000000005</v>
      </c>
      <c r="Y156" s="82">
        <v>260</v>
      </c>
      <c r="Z156" s="79">
        <f t="shared" si="13"/>
        <v>14617.2</v>
      </c>
      <c r="AA156" s="79">
        <f t="shared" si="14"/>
        <v>53409</v>
      </c>
    </row>
    <row r="157" spans="1:38" s="83" customFormat="1" ht="15.75">
      <c r="A157" s="32">
        <v>154</v>
      </c>
      <c r="B157" s="72">
        <v>45937</v>
      </c>
      <c r="C157" s="72">
        <v>45937</v>
      </c>
      <c r="D157" s="73">
        <v>251007005</v>
      </c>
      <c r="E157" s="74" t="s">
        <v>400</v>
      </c>
      <c r="F157" s="74" t="s">
        <v>401</v>
      </c>
      <c r="G157" s="74">
        <v>25</v>
      </c>
      <c r="H157" s="41">
        <v>115</v>
      </c>
      <c r="I157" s="36" t="s">
        <v>46</v>
      </c>
      <c r="J157" s="42" t="s">
        <v>23</v>
      </c>
      <c r="K157" s="43" t="s">
        <v>38</v>
      </c>
      <c r="L157" s="74" t="s">
        <v>101</v>
      </c>
      <c r="M157" s="74" t="s">
        <v>55</v>
      </c>
      <c r="N157" s="88">
        <v>48.06</v>
      </c>
      <c r="O157" s="88">
        <v>11.52</v>
      </c>
      <c r="P157" s="77">
        <f t="shared" si="10"/>
        <v>36.540000000000006</v>
      </c>
      <c r="Q157" s="74">
        <v>445</v>
      </c>
      <c r="R157" s="78">
        <f t="shared" si="11"/>
        <v>16260.300000000003</v>
      </c>
      <c r="S157" s="74"/>
      <c r="T157" s="79"/>
      <c r="V157" s="79" t="s">
        <v>24</v>
      </c>
      <c r="W157" s="80">
        <v>145</v>
      </c>
      <c r="X157" s="81">
        <f t="shared" si="12"/>
        <v>5298.3000000000011</v>
      </c>
      <c r="Y157" s="82">
        <v>260</v>
      </c>
      <c r="Z157" s="79">
        <f t="shared" si="13"/>
        <v>9500.4000000000015</v>
      </c>
      <c r="AA157" s="89">
        <f t="shared" si="14"/>
        <v>31059.000000000007</v>
      </c>
    </row>
    <row r="158" spans="1:38" s="83" customFormat="1" ht="17.100000000000001" customHeight="1">
      <c r="A158" s="32">
        <v>155</v>
      </c>
      <c r="B158" s="72">
        <v>45937</v>
      </c>
      <c r="C158" s="72">
        <v>45937</v>
      </c>
      <c r="D158" s="73">
        <v>251007006</v>
      </c>
      <c r="E158" s="74" t="s">
        <v>402</v>
      </c>
      <c r="F158" s="74" t="s">
        <v>403</v>
      </c>
      <c r="G158" s="74">
        <v>25</v>
      </c>
      <c r="H158" s="41">
        <v>115</v>
      </c>
      <c r="I158" s="36" t="s">
        <v>46</v>
      </c>
      <c r="J158" s="42" t="s">
        <v>23</v>
      </c>
      <c r="K158" s="43" t="s">
        <v>38</v>
      </c>
      <c r="L158" s="74" t="s">
        <v>404</v>
      </c>
      <c r="M158" s="74" t="s">
        <v>48</v>
      </c>
      <c r="N158" s="88">
        <v>68.040000000000006</v>
      </c>
      <c r="O158" s="88">
        <v>18.239999999999998</v>
      </c>
      <c r="P158" s="74">
        <f t="shared" si="10"/>
        <v>49.800000000000011</v>
      </c>
      <c r="Q158" s="74">
        <v>545</v>
      </c>
      <c r="R158" s="78">
        <f t="shared" si="11"/>
        <v>27141.000000000007</v>
      </c>
      <c r="S158" s="74"/>
      <c r="T158" s="79"/>
      <c r="V158" s="79" t="s">
        <v>24</v>
      </c>
      <c r="W158" s="80">
        <v>145</v>
      </c>
      <c r="X158" s="81">
        <f t="shared" si="12"/>
        <v>7221.0000000000018</v>
      </c>
      <c r="Y158" s="82">
        <v>260</v>
      </c>
      <c r="Z158" s="79">
        <f t="shared" si="13"/>
        <v>12948.000000000004</v>
      </c>
      <c r="AA158" s="79">
        <f t="shared" si="14"/>
        <v>47310.000000000015</v>
      </c>
      <c r="AB158" s="91"/>
      <c r="AC158" s="90"/>
      <c r="AD158" s="92"/>
      <c r="AE158" s="93"/>
      <c r="AF158" s="90"/>
      <c r="AG158" s="93"/>
      <c r="AH158" s="90"/>
      <c r="AI158" s="92"/>
      <c r="AJ158" s="90"/>
      <c r="AK158" s="92"/>
      <c r="AL158" s="92"/>
    </row>
    <row r="159" spans="1:38" s="83" customFormat="1" ht="15.75">
      <c r="A159" s="32">
        <v>156</v>
      </c>
      <c r="B159" s="72">
        <v>45937</v>
      </c>
      <c r="C159" s="72">
        <v>45937</v>
      </c>
      <c r="D159" s="73">
        <v>251007007</v>
      </c>
      <c r="E159" s="74" t="s">
        <v>405</v>
      </c>
      <c r="F159" s="74" t="s">
        <v>406</v>
      </c>
      <c r="G159" s="74">
        <v>25</v>
      </c>
      <c r="H159" s="41">
        <v>115</v>
      </c>
      <c r="I159" s="36" t="s">
        <v>46</v>
      </c>
      <c r="J159" s="42" t="s">
        <v>23</v>
      </c>
      <c r="K159" s="43" t="s">
        <v>38</v>
      </c>
      <c r="L159" s="74" t="s">
        <v>54</v>
      </c>
      <c r="M159" s="74" t="s">
        <v>48</v>
      </c>
      <c r="N159" s="88">
        <v>68.040000000000006</v>
      </c>
      <c r="O159" s="88">
        <v>16.739999999999998</v>
      </c>
      <c r="P159" s="77">
        <f t="shared" si="10"/>
        <v>51.300000000000011</v>
      </c>
      <c r="Q159" s="74">
        <v>545</v>
      </c>
      <c r="R159" s="78">
        <f t="shared" si="11"/>
        <v>27958.500000000007</v>
      </c>
      <c r="S159" s="74"/>
      <c r="T159" s="79"/>
      <c r="V159" s="79" t="s">
        <v>24</v>
      </c>
      <c r="W159" s="80">
        <v>145</v>
      </c>
      <c r="X159" s="81">
        <f t="shared" si="12"/>
        <v>7438.5000000000018</v>
      </c>
      <c r="Y159" s="82">
        <v>260</v>
      </c>
      <c r="Z159" s="79">
        <f t="shared" si="13"/>
        <v>13338.000000000004</v>
      </c>
      <c r="AA159" s="79">
        <f t="shared" si="14"/>
        <v>48735.000000000015</v>
      </c>
    </row>
    <row r="160" spans="1:38" s="83" customFormat="1" ht="15.75">
      <c r="A160" s="32">
        <v>157</v>
      </c>
      <c r="B160" s="72">
        <v>45937</v>
      </c>
      <c r="C160" s="72">
        <v>45937</v>
      </c>
      <c r="D160" s="73">
        <v>251007008</v>
      </c>
      <c r="E160" s="74" t="s">
        <v>407</v>
      </c>
      <c r="F160" s="74" t="s">
        <v>408</v>
      </c>
      <c r="G160" s="74">
        <v>25</v>
      </c>
      <c r="H160" s="41">
        <v>115</v>
      </c>
      <c r="I160" s="36" t="s">
        <v>46</v>
      </c>
      <c r="J160" s="42" t="s">
        <v>23</v>
      </c>
      <c r="K160" s="43" t="s">
        <v>38</v>
      </c>
      <c r="L160" s="74" t="s">
        <v>125</v>
      </c>
      <c r="M160" s="74" t="s">
        <v>55</v>
      </c>
      <c r="N160" s="74">
        <v>67.180000000000007</v>
      </c>
      <c r="O160" s="88">
        <v>15.76</v>
      </c>
      <c r="P160" s="77">
        <f t="shared" si="10"/>
        <v>51.420000000000009</v>
      </c>
      <c r="Q160" s="74">
        <v>445</v>
      </c>
      <c r="R160" s="78">
        <f t="shared" si="11"/>
        <v>22881.900000000005</v>
      </c>
      <c r="S160" s="74"/>
      <c r="T160" s="79"/>
      <c r="V160" s="79" t="s">
        <v>24</v>
      </c>
      <c r="W160" s="80">
        <v>145</v>
      </c>
      <c r="X160" s="81">
        <f t="shared" si="12"/>
        <v>7455.9000000000015</v>
      </c>
      <c r="Y160" s="82">
        <v>260</v>
      </c>
      <c r="Z160" s="79">
        <f t="shared" si="13"/>
        <v>13369.200000000003</v>
      </c>
      <c r="AA160" s="79">
        <f t="shared" si="14"/>
        <v>43707.000000000007</v>
      </c>
    </row>
    <row r="161" spans="1:27" s="83" customFormat="1" ht="15.75">
      <c r="A161" s="32">
        <v>158</v>
      </c>
      <c r="B161" s="72">
        <v>45937</v>
      </c>
      <c r="C161" s="72">
        <v>45937</v>
      </c>
      <c r="D161" s="73">
        <v>251007009</v>
      </c>
      <c r="E161" s="74" t="s">
        <v>409</v>
      </c>
      <c r="F161" s="74" t="s">
        <v>410</v>
      </c>
      <c r="G161" s="74">
        <v>25</v>
      </c>
      <c r="H161" s="41">
        <v>115</v>
      </c>
      <c r="I161" s="36" t="s">
        <v>46</v>
      </c>
      <c r="J161" s="42" t="s">
        <v>23</v>
      </c>
      <c r="K161" s="43" t="s">
        <v>38</v>
      </c>
      <c r="L161" s="74" t="s">
        <v>134</v>
      </c>
      <c r="M161" s="74" t="s">
        <v>55</v>
      </c>
      <c r="N161" s="88">
        <v>64.760000000000005</v>
      </c>
      <c r="O161" s="74">
        <v>15.54</v>
      </c>
      <c r="P161" s="77">
        <f t="shared" si="10"/>
        <v>49.220000000000006</v>
      </c>
      <c r="Q161" s="74">
        <v>445</v>
      </c>
      <c r="R161" s="78">
        <f t="shared" si="11"/>
        <v>21902.9</v>
      </c>
      <c r="S161" s="74"/>
      <c r="T161" s="79"/>
      <c r="V161" s="79" t="s">
        <v>24</v>
      </c>
      <c r="W161" s="80">
        <v>145</v>
      </c>
      <c r="X161" s="81">
        <f t="shared" si="12"/>
        <v>7136.9000000000005</v>
      </c>
      <c r="Y161" s="82">
        <v>260</v>
      </c>
      <c r="Z161" s="79">
        <f t="shared" si="13"/>
        <v>12797.2</v>
      </c>
      <c r="AA161" s="79">
        <f t="shared" si="14"/>
        <v>41837</v>
      </c>
    </row>
    <row r="162" spans="1:27" s="87" customFormat="1" ht="15.75">
      <c r="A162" s="32">
        <v>159</v>
      </c>
      <c r="B162" s="72">
        <v>45937</v>
      </c>
      <c r="C162" s="72">
        <v>45937</v>
      </c>
      <c r="D162" s="73">
        <v>251007010</v>
      </c>
      <c r="E162" s="74" t="s">
        <v>411</v>
      </c>
      <c r="F162" s="74" t="s">
        <v>412</v>
      </c>
      <c r="G162" s="74">
        <v>25</v>
      </c>
      <c r="H162" s="41">
        <v>115</v>
      </c>
      <c r="I162" s="36" t="s">
        <v>46</v>
      </c>
      <c r="J162" s="42" t="s">
        <v>23</v>
      </c>
      <c r="K162" s="43" t="s">
        <v>38</v>
      </c>
      <c r="L162" s="74" t="s">
        <v>185</v>
      </c>
      <c r="M162" s="74" t="s">
        <v>48</v>
      </c>
      <c r="N162" s="74">
        <v>56.48</v>
      </c>
      <c r="O162" s="88">
        <v>12.02</v>
      </c>
      <c r="P162" s="77">
        <f t="shared" si="10"/>
        <v>44.459999999999994</v>
      </c>
      <c r="Q162" s="74">
        <v>545</v>
      </c>
      <c r="R162" s="78">
        <f t="shared" si="11"/>
        <v>24230.699999999997</v>
      </c>
      <c r="S162" s="74"/>
      <c r="T162" s="79"/>
      <c r="V162" s="79" t="s">
        <v>24</v>
      </c>
      <c r="W162" s="80">
        <v>145</v>
      </c>
      <c r="X162" s="81">
        <f t="shared" si="12"/>
        <v>6446.6999999999989</v>
      </c>
      <c r="Y162" s="82">
        <v>260</v>
      </c>
      <c r="Z162" s="79">
        <f t="shared" si="13"/>
        <v>11559.599999999999</v>
      </c>
      <c r="AA162" s="79">
        <f t="shared" si="14"/>
        <v>42236.999999999993</v>
      </c>
    </row>
    <row r="163" spans="1:27" s="83" customFormat="1" ht="15.75">
      <c r="A163" s="32">
        <v>160</v>
      </c>
      <c r="B163" s="72">
        <v>45937</v>
      </c>
      <c r="C163" s="72">
        <v>45937</v>
      </c>
      <c r="D163" s="73">
        <v>251007011</v>
      </c>
      <c r="E163" s="74" t="s">
        <v>413</v>
      </c>
      <c r="F163" s="74" t="s">
        <v>414</v>
      </c>
      <c r="G163" s="74">
        <v>25</v>
      </c>
      <c r="H163" s="41">
        <v>115</v>
      </c>
      <c r="I163" s="36" t="s">
        <v>46</v>
      </c>
      <c r="J163" s="42" t="s">
        <v>23</v>
      </c>
      <c r="K163" s="43" t="s">
        <v>38</v>
      </c>
      <c r="L163" s="76" t="s">
        <v>51</v>
      </c>
      <c r="M163" s="74" t="s">
        <v>48</v>
      </c>
      <c r="N163" s="74">
        <v>61.06</v>
      </c>
      <c r="O163" s="74">
        <v>15.32</v>
      </c>
      <c r="P163" s="85">
        <f t="shared" si="10"/>
        <v>45.74</v>
      </c>
      <c r="Q163" s="74">
        <v>545</v>
      </c>
      <c r="R163" s="78">
        <f t="shared" si="11"/>
        <v>24928.3</v>
      </c>
      <c r="S163" s="74"/>
      <c r="T163" s="79"/>
      <c r="V163" s="79" t="s">
        <v>24</v>
      </c>
      <c r="W163" s="80">
        <v>145</v>
      </c>
      <c r="X163" s="81">
        <f t="shared" si="12"/>
        <v>6632.3</v>
      </c>
      <c r="Y163" s="82">
        <v>260</v>
      </c>
      <c r="Z163" s="82">
        <f t="shared" si="13"/>
        <v>11892.4</v>
      </c>
      <c r="AA163" s="82">
        <f t="shared" si="14"/>
        <v>43453</v>
      </c>
    </row>
    <row r="164" spans="1:27" s="83" customFormat="1" ht="15.75">
      <c r="A164" s="32">
        <v>161</v>
      </c>
      <c r="B164" s="72">
        <v>45937</v>
      </c>
      <c r="C164" s="72">
        <v>45937</v>
      </c>
      <c r="D164" s="73">
        <v>251007012</v>
      </c>
      <c r="E164" s="74" t="s">
        <v>415</v>
      </c>
      <c r="F164" s="74" t="s">
        <v>416</v>
      </c>
      <c r="G164" s="74">
        <v>25</v>
      </c>
      <c r="H164" s="41">
        <v>115</v>
      </c>
      <c r="I164" s="36" t="s">
        <v>46</v>
      </c>
      <c r="J164" s="42" t="s">
        <v>23</v>
      </c>
      <c r="K164" s="43" t="s">
        <v>38</v>
      </c>
      <c r="L164" s="76" t="s">
        <v>193</v>
      </c>
      <c r="M164" s="74" t="s">
        <v>40</v>
      </c>
      <c r="N164" s="88">
        <v>64</v>
      </c>
      <c r="O164" s="88">
        <v>15.74</v>
      </c>
      <c r="P164" s="77">
        <f t="shared" si="10"/>
        <v>48.26</v>
      </c>
      <c r="Q164" s="74">
        <v>315</v>
      </c>
      <c r="R164" s="78">
        <f t="shared" si="11"/>
        <v>15201.9</v>
      </c>
      <c r="S164" s="74"/>
      <c r="T164" s="79"/>
      <c r="V164" s="79" t="s">
        <v>24</v>
      </c>
      <c r="W164" s="80">
        <v>145</v>
      </c>
      <c r="X164" s="81">
        <f t="shared" si="12"/>
        <v>6997.7</v>
      </c>
      <c r="Y164" s="82">
        <v>260</v>
      </c>
      <c r="Z164" s="79">
        <f t="shared" si="13"/>
        <v>12547.6</v>
      </c>
      <c r="AA164" s="79">
        <f t="shared" si="14"/>
        <v>34747.199999999997</v>
      </c>
    </row>
    <row r="165" spans="1:27" s="87" customFormat="1" ht="15.75">
      <c r="A165" s="32">
        <v>162</v>
      </c>
      <c r="B165" s="72">
        <v>45937</v>
      </c>
      <c r="C165" s="72">
        <v>45937</v>
      </c>
      <c r="D165" s="73">
        <v>251007013</v>
      </c>
      <c r="E165" s="74" t="s">
        <v>417</v>
      </c>
      <c r="F165" s="74" t="s">
        <v>418</v>
      </c>
      <c r="G165" s="74">
        <v>25</v>
      </c>
      <c r="H165" s="41">
        <v>115</v>
      </c>
      <c r="I165" s="36" t="s">
        <v>46</v>
      </c>
      <c r="J165" s="42" t="s">
        <v>23</v>
      </c>
      <c r="K165" s="43" t="s">
        <v>38</v>
      </c>
      <c r="L165" s="76" t="s">
        <v>67</v>
      </c>
      <c r="M165" s="74" t="s">
        <v>48</v>
      </c>
      <c r="N165" s="74">
        <v>62.04</v>
      </c>
      <c r="O165" s="88">
        <v>15.9</v>
      </c>
      <c r="P165" s="77">
        <f t="shared" si="10"/>
        <v>46.14</v>
      </c>
      <c r="Q165" s="74">
        <v>545</v>
      </c>
      <c r="R165" s="78">
        <f t="shared" si="11"/>
        <v>25146.3</v>
      </c>
      <c r="S165" s="74"/>
      <c r="T165" s="79"/>
      <c r="V165" s="79" t="s">
        <v>24</v>
      </c>
      <c r="W165" s="80">
        <v>145</v>
      </c>
      <c r="X165" s="81">
        <f t="shared" si="12"/>
        <v>6690.3</v>
      </c>
      <c r="Y165" s="82">
        <v>260</v>
      </c>
      <c r="Z165" s="79">
        <f t="shared" si="13"/>
        <v>11996.4</v>
      </c>
      <c r="AA165" s="79">
        <f t="shared" si="14"/>
        <v>43833</v>
      </c>
    </row>
    <row r="166" spans="1:27" s="83" customFormat="1" ht="15.75">
      <c r="A166" s="32">
        <v>163</v>
      </c>
      <c r="B166" s="72">
        <v>45937</v>
      </c>
      <c r="C166" s="72">
        <v>45937</v>
      </c>
      <c r="D166" s="73">
        <v>251007014</v>
      </c>
      <c r="E166" s="74" t="s">
        <v>419</v>
      </c>
      <c r="F166" s="74" t="s">
        <v>420</v>
      </c>
      <c r="G166" s="74">
        <v>25</v>
      </c>
      <c r="H166" s="41">
        <v>113</v>
      </c>
      <c r="I166" s="36" t="s">
        <v>392</v>
      </c>
      <c r="J166" s="42" t="s">
        <v>23</v>
      </c>
      <c r="K166" s="43" t="s">
        <v>38</v>
      </c>
      <c r="L166" s="74" t="s">
        <v>119</v>
      </c>
      <c r="M166" s="74" t="s">
        <v>421</v>
      </c>
      <c r="N166" s="74">
        <v>62.52</v>
      </c>
      <c r="O166" s="88">
        <v>18.14</v>
      </c>
      <c r="P166" s="77">
        <f t="shared" si="10"/>
        <v>44.38</v>
      </c>
      <c r="Q166" s="74">
        <v>415</v>
      </c>
      <c r="R166" s="78">
        <f t="shared" si="11"/>
        <v>18417.7</v>
      </c>
      <c r="S166" s="74"/>
      <c r="T166" s="79"/>
      <c r="V166" s="79" t="s">
        <v>24</v>
      </c>
      <c r="W166" s="80">
        <v>145</v>
      </c>
      <c r="X166" s="81">
        <f t="shared" si="12"/>
        <v>6435.1</v>
      </c>
      <c r="Y166" s="82">
        <v>260</v>
      </c>
      <c r="Z166" s="79">
        <f t="shared" si="13"/>
        <v>11538.800000000001</v>
      </c>
      <c r="AA166" s="79">
        <f t="shared" si="14"/>
        <v>36391.600000000006</v>
      </c>
    </row>
    <row r="167" spans="1:27" s="83" customFormat="1" ht="15.75">
      <c r="A167" s="32">
        <v>164</v>
      </c>
      <c r="B167" s="72">
        <v>45937</v>
      </c>
      <c r="C167" s="72">
        <v>45937</v>
      </c>
      <c r="D167" s="73" t="s">
        <v>422</v>
      </c>
      <c r="E167" s="74"/>
      <c r="F167" s="74"/>
      <c r="G167" s="74"/>
      <c r="H167" s="28"/>
      <c r="I167" s="29" t="s">
        <v>384</v>
      </c>
      <c r="J167" s="75" t="s">
        <v>23</v>
      </c>
      <c r="K167" s="29" t="s">
        <v>30</v>
      </c>
      <c r="L167" s="76" t="s">
        <v>382</v>
      </c>
      <c r="M167" s="74" t="s">
        <v>48</v>
      </c>
      <c r="N167" s="88">
        <v>8.94</v>
      </c>
      <c r="O167" s="88">
        <v>3.46</v>
      </c>
      <c r="P167" s="77">
        <f t="shared" si="10"/>
        <v>5.4799999999999995</v>
      </c>
      <c r="Q167" s="74">
        <v>550</v>
      </c>
      <c r="R167" s="78">
        <f t="shared" si="11"/>
        <v>3013.9999999999995</v>
      </c>
      <c r="S167" s="74">
        <v>3014</v>
      </c>
      <c r="T167" s="79"/>
      <c r="V167" s="79" t="s">
        <v>24</v>
      </c>
      <c r="W167" s="80"/>
      <c r="X167" s="81">
        <f t="shared" si="12"/>
        <v>0</v>
      </c>
      <c r="Y167" s="82"/>
      <c r="Z167" s="79">
        <f t="shared" si="13"/>
        <v>0</v>
      </c>
      <c r="AA167" s="79">
        <f t="shared" si="14"/>
        <v>3013.9999999999995</v>
      </c>
    </row>
    <row r="168" spans="1:27" s="83" customFormat="1" ht="15.75">
      <c r="A168" s="32">
        <v>165</v>
      </c>
      <c r="B168" s="72">
        <v>45937</v>
      </c>
      <c r="C168" s="72">
        <v>45937</v>
      </c>
      <c r="D168" s="73" t="s">
        <v>423</v>
      </c>
      <c r="E168" s="74"/>
      <c r="F168" s="74"/>
      <c r="G168" s="74"/>
      <c r="H168" s="69">
        <v>241</v>
      </c>
      <c r="I168" s="34" t="s">
        <v>388</v>
      </c>
      <c r="J168" s="42" t="s">
        <v>23</v>
      </c>
      <c r="K168" s="29" t="s">
        <v>38</v>
      </c>
      <c r="L168" s="76" t="s">
        <v>389</v>
      </c>
      <c r="M168" s="74" t="s">
        <v>48</v>
      </c>
      <c r="N168" s="88">
        <v>61.14</v>
      </c>
      <c r="O168" s="88">
        <v>15.28</v>
      </c>
      <c r="P168" s="77">
        <f t="shared" si="10"/>
        <v>45.86</v>
      </c>
      <c r="Q168" s="74">
        <v>550</v>
      </c>
      <c r="R168" s="78">
        <f t="shared" si="11"/>
        <v>25223</v>
      </c>
      <c r="S168" s="74"/>
      <c r="T168" s="79"/>
      <c r="V168" s="79" t="s">
        <v>217</v>
      </c>
      <c r="W168" s="80"/>
      <c r="X168" s="81">
        <f t="shared" si="12"/>
        <v>0</v>
      </c>
      <c r="Y168" s="82"/>
      <c r="Z168" s="79">
        <f t="shared" si="13"/>
        <v>0</v>
      </c>
      <c r="AA168" s="79">
        <f t="shared" si="14"/>
        <v>25223</v>
      </c>
    </row>
    <row r="169" spans="1:27" s="83" customFormat="1" ht="15.75">
      <c r="A169" s="32">
        <v>166</v>
      </c>
      <c r="B169" s="72">
        <v>45937</v>
      </c>
      <c r="C169" s="72">
        <v>45937</v>
      </c>
      <c r="D169" s="73" t="s">
        <v>424</v>
      </c>
      <c r="E169" s="74"/>
      <c r="F169" s="74"/>
      <c r="G169" s="74"/>
      <c r="H169" s="28"/>
      <c r="I169" s="29" t="s">
        <v>425</v>
      </c>
      <c r="J169" s="26" t="s">
        <v>23</v>
      </c>
      <c r="K169" s="12" t="s">
        <v>38</v>
      </c>
      <c r="L169" s="74" t="s">
        <v>311</v>
      </c>
      <c r="M169" s="74" t="s">
        <v>272</v>
      </c>
      <c r="N169" s="88">
        <v>42.62</v>
      </c>
      <c r="O169" s="88">
        <v>11.5</v>
      </c>
      <c r="P169" s="77">
        <f t="shared" si="10"/>
        <v>31.119999999999997</v>
      </c>
      <c r="Q169" s="74">
        <v>250</v>
      </c>
      <c r="R169" s="78">
        <f t="shared" si="11"/>
        <v>7779.9999999999991</v>
      </c>
      <c r="S169" s="74"/>
      <c r="T169" s="79"/>
      <c r="V169" s="79" t="s">
        <v>268</v>
      </c>
      <c r="W169" s="80"/>
      <c r="X169" s="81">
        <f t="shared" si="12"/>
        <v>0</v>
      </c>
      <c r="Y169" s="82"/>
      <c r="Z169" s="79">
        <f t="shared" si="13"/>
        <v>0</v>
      </c>
      <c r="AA169" s="79">
        <f t="shared" si="14"/>
        <v>7779.9999999999991</v>
      </c>
    </row>
    <row r="170" spans="1:27" s="83" customFormat="1" ht="15.75">
      <c r="A170" s="32">
        <v>167</v>
      </c>
      <c r="B170" s="72">
        <v>45937</v>
      </c>
      <c r="C170" s="72">
        <v>45938</v>
      </c>
      <c r="D170" s="94" t="s">
        <v>426</v>
      </c>
      <c r="E170" s="74"/>
      <c r="F170" s="74"/>
      <c r="G170" s="74"/>
      <c r="H170" s="95"/>
      <c r="I170" s="12" t="s">
        <v>427</v>
      </c>
      <c r="J170" s="26" t="s">
        <v>23</v>
      </c>
      <c r="K170" s="12" t="s">
        <v>38</v>
      </c>
      <c r="L170" s="74" t="s">
        <v>428</v>
      </c>
      <c r="M170" s="74" t="s">
        <v>272</v>
      </c>
      <c r="N170" s="74">
        <v>72.180000000000007</v>
      </c>
      <c r="O170" s="88">
        <v>16.12</v>
      </c>
      <c r="P170" s="77">
        <f t="shared" si="10"/>
        <v>56.06</v>
      </c>
      <c r="Q170" s="74">
        <v>250</v>
      </c>
      <c r="R170" s="78">
        <f t="shared" si="11"/>
        <v>14015</v>
      </c>
      <c r="S170" s="74"/>
      <c r="T170" s="79"/>
      <c r="V170" s="79" t="s">
        <v>268</v>
      </c>
      <c r="W170" s="80"/>
      <c r="X170" s="81">
        <f t="shared" si="12"/>
        <v>0</v>
      </c>
      <c r="Y170" s="82"/>
      <c r="Z170" s="79">
        <f t="shared" si="13"/>
        <v>0</v>
      </c>
      <c r="AA170" s="79">
        <f t="shared" si="14"/>
        <v>14015</v>
      </c>
    </row>
    <row r="171" spans="1:27" s="83" customFormat="1" ht="15.75">
      <c r="A171" s="32">
        <v>168</v>
      </c>
      <c r="B171" s="72">
        <v>45937</v>
      </c>
      <c r="C171" s="72">
        <v>45938</v>
      </c>
      <c r="D171" s="76" t="s">
        <v>429</v>
      </c>
      <c r="E171" s="74"/>
      <c r="F171" s="74"/>
      <c r="G171" s="74"/>
      <c r="H171" s="69">
        <v>221</v>
      </c>
      <c r="I171" s="71" t="s">
        <v>266</v>
      </c>
      <c r="J171" s="42" t="s">
        <v>23</v>
      </c>
      <c r="K171" s="36" t="s">
        <v>38</v>
      </c>
      <c r="L171" s="74" t="s">
        <v>430</v>
      </c>
      <c r="M171" s="74" t="s">
        <v>48</v>
      </c>
      <c r="N171" s="88">
        <v>60.66</v>
      </c>
      <c r="O171" s="88">
        <v>16.04</v>
      </c>
      <c r="P171" s="77">
        <f t="shared" si="10"/>
        <v>44.62</v>
      </c>
      <c r="Q171" s="74">
        <v>520</v>
      </c>
      <c r="R171" s="78">
        <f t="shared" si="11"/>
        <v>23202.399999999998</v>
      </c>
      <c r="S171" s="74"/>
      <c r="T171" s="79"/>
      <c r="V171" s="79" t="s">
        <v>268</v>
      </c>
      <c r="W171" s="80"/>
      <c r="X171" s="81">
        <f t="shared" si="12"/>
        <v>0</v>
      </c>
      <c r="Y171" s="82"/>
      <c r="Z171" s="79">
        <f t="shared" si="13"/>
        <v>0</v>
      </c>
      <c r="AA171" s="79">
        <f t="shared" si="14"/>
        <v>23202.399999999998</v>
      </c>
    </row>
    <row r="172" spans="1:27" s="87" customFormat="1" ht="15.75">
      <c r="A172" s="32">
        <v>169</v>
      </c>
      <c r="B172" s="72">
        <v>45937</v>
      </c>
      <c r="C172" s="72">
        <v>45938</v>
      </c>
      <c r="D172" s="76" t="s">
        <v>431</v>
      </c>
      <c r="E172" s="74"/>
      <c r="F172" s="74"/>
      <c r="G172" s="74"/>
      <c r="H172" s="69">
        <v>241</v>
      </c>
      <c r="I172" s="34" t="s">
        <v>388</v>
      </c>
      <c r="J172" s="42" t="s">
        <v>23</v>
      </c>
      <c r="K172" s="29" t="s">
        <v>38</v>
      </c>
      <c r="L172" s="76" t="s">
        <v>389</v>
      </c>
      <c r="M172" s="74" t="s">
        <v>48</v>
      </c>
      <c r="N172" s="74">
        <v>62.68</v>
      </c>
      <c r="O172" s="74">
        <v>15.28</v>
      </c>
      <c r="P172" s="77">
        <f t="shared" si="10"/>
        <v>47.4</v>
      </c>
      <c r="Q172" s="74">
        <v>550</v>
      </c>
      <c r="R172" s="78">
        <f t="shared" si="11"/>
        <v>26070</v>
      </c>
      <c r="S172" s="74"/>
      <c r="T172" s="79"/>
      <c r="V172" s="79" t="s">
        <v>217</v>
      </c>
      <c r="W172" s="80"/>
      <c r="X172" s="81">
        <f t="shared" si="12"/>
        <v>0</v>
      </c>
      <c r="Y172" s="82"/>
      <c r="Z172" s="79">
        <f t="shared" si="13"/>
        <v>0</v>
      </c>
      <c r="AA172" s="79">
        <f t="shared" si="14"/>
        <v>26070</v>
      </c>
    </row>
    <row r="173" spans="1:27" s="87" customFormat="1" ht="15.75">
      <c r="A173" s="32">
        <v>170</v>
      </c>
      <c r="B173" s="72">
        <v>45937</v>
      </c>
      <c r="C173" s="72">
        <v>45938</v>
      </c>
      <c r="D173" s="76" t="s">
        <v>432</v>
      </c>
      <c r="E173" s="74"/>
      <c r="F173" s="74"/>
      <c r="G173" s="74"/>
      <c r="H173" s="95"/>
      <c r="I173" s="12" t="s">
        <v>427</v>
      </c>
      <c r="J173" s="26" t="s">
        <v>23</v>
      </c>
      <c r="K173" s="12" t="s">
        <v>38</v>
      </c>
      <c r="L173" s="74" t="s">
        <v>428</v>
      </c>
      <c r="M173" s="74" t="s">
        <v>272</v>
      </c>
      <c r="N173" s="88">
        <v>69.94</v>
      </c>
      <c r="O173" s="74">
        <v>16.100000000000001</v>
      </c>
      <c r="P173" s="77">
        <f t="shared" si="10"/>
        <v>53.839999999999996</v>
      </c>
      <c r="Q173" s="74">
        <v>250</v>
      </c>
      <c r="R173" s="78">
        <f t="shared" si="11"/>
        <v>13459.999999999998</v>
      </c>
      <c r="S173" s="74"/>
      <c r="T173" s="79"/>
      <c r="V173" s="79" t="s">
        <v>268</v>
      </c>
      <c r="W173" s="80"/>
      <c r="X173" s="81">
        <f t="shared" si="12"/>
        <v>0</v>
      </c>
      <c r="Y173" s="82"/>
      <c r="Z173" s="79">
        <f t="shared" si="13"/>
        <v>0</v>
      </c>
      <c r="AA173" s="79">
        <f t="shared" si="14"/>
        <v>13459.999999999998</v>
      </c>
    </row>
    <row r="174" spans="1:27" s="83" customFormat="1" ht="15.75">
      <c r="A174" s="32">
        <v>171</v>
      </c>
      <c r="B174" s="72">
        <v>45937</v>
      </c>
      <c r="C174" s="72">
        <v>45938</v>
      </c>
      <c r="D174" s="76" t="s">
        <v>433</v>
      </c>
      <c r="E174" s="74"/>
      <c r="F174" s="74"/>
      <c r="G174" s="74"/>
      <c r="H174" s="29"/>
      <c r="I174" s="12" t="s">
        <v>384</v>
      </c>
      <c r="J174" s="26" t="s">
        <v>23</v>
      </c>
      <c r="K174" s="12" t="s">
        <v>30</v>
      </c>
      <c r="L174" s="74" t="s">
        <v>382</v>
      </c>
      <c r="M174" s="74" t="s">
        <v>48</v>
      </c>
      <c r="N174" s="74">
        <v>8.3000000000000007</v>
      </c>
      <c r="O174" s="74">
        <v>3.46</v>
      </c>
      <c r="P174" s="77">
        <f t="shared" si="10"/>
        <v>4.8400000000000007</v>
      </c>
      <c r="Q174" s="74">
        <v>550</v>
      </c>
      <c r="R174" s="78">
        <f t="shared" si="11"/>
        <v>2662.0000000000005</v>
      </c>
      <c r="S174" s="74">
        <v>2662</v>
      </c>
      <c r="T174" s="79"/>
      <c r="V174" s="79" t="s">
        <v>24</v>
      </c>
      <c r="W174" s="80"/>
      <c r="X174" s="82">
        <f t="shared" si="12"/>
        <v>0</v>
      </c>
      <c r="Y174" s="82"/>
      <c r="Z174" s="79">
        <f t="shared" si="13"/>
        <v>0</v>
      </c>
      <c r="AA174" s="79">
        <f t="shared" si="14"/>
        <v>2662.0000000000005</v>
      </c>
    </row>
    <row r="175" spans="1:27" s="83" customFormat="1" ht="15.75">
      <c r="A175" s="32">
        <v>172</v>
      </c>
      <c r="B175" s="72">
        <v>45938</v>
      </c>
      <c r="C175" s="72">
        <v>45938</v>
      </c>
      <c r="D175" s="73" t="s">
        <v>434</v>
      </c>
      <c r="E175" s="74"/>
      <c r="F175" s="74"/>
      <c r="G175" s="74"/>
      <c r="H175" s="28"/>
      <c r="I175" s="29" t="s">
        <v>435</v>
      </c>
      <c r="J175" s="75" t="s">
        <v>23</v>
      </c>
      <c r="K175" s="29" t="s">
        <v>30</v>
      </c>
      <c r="L175" s="76" t="s">
        <v>436</v>
      </c>
      <c r="M175" s="74" t="s">
        <v>31</v>
      </c>
      <c r="N175" s="74">
        <v>9.76</v>
      </c>
      <c r="O175" s="74">
        <v>3.54</v>
      </c>
      <c r="P175" s="77">
        <f t="shared" si="10"/>
        <v>6.22</v>
      </c>
      <c r="Q175" s="74">
        <v>150</v>
      </c>
      <c r="R175" s="78">
        <f t="shared" si="11"/>
        <v>933</v>
      </c>
      <c r="S175" s="74">
        <v>933</v>
      </c>
      <c r="T175" s="79"/>
      <c r="V175" s="79" t="s">
        <v>24</v>
      </c>
      <c r="W175" s="80"/>
      <c r="X175" s="82">
        <f t="shared" si="12"/>
        <v>0</v>
      </c>
      <c r="Y175" s="82"/>
      <c r="Z175" s="79">
        <f t="shared" si="13"/>
        <v>0</v>
      </c>
      <c r="AA175" s="79">
        <f t="shared" si="14"/>
        <v>933</v>
      </c>
    </row>
    <row r="176" spans="1:27" s="83" customFormat="1" ht="15.75">
      <c r="A176" s="32">
        <v>173</v>
      </c>
      <c r="B176" s="72">
        <v>45938</v>
      </c>
      <c r="C176" s="72">
        <v>45938</v>
      </c>
      <c r="D176" s="96">
        <v>251008002</v>
      </c>
      <c r="E176" s="74" t="s">
        <v>437</v>
      </c>
      <c r="F176" s="74" t="s">
        <v>438</v>
      </c>
      <c r="G176" s="74">
        <v>43</v>
      </c>
      <c r="H176" s="41">
        <v>115</v>
      </c>
      <c r="I176" s="36" t="s">
        <v>46</v>
      </c>
      <c r="J176" s="42" t="s">
        <v>23</v>
      </c>
      <c r="K176" s="36" t="s">
        <v>38</v>
      </c>
      <c r="L176" s="74" t="s">
        <v>47</v>
      </c>
      <c r="M176" s="74" t="s">
        <v>40</v>
      </c>
      <c r="N176" s="74">
        <v>59.1</v>
      </c>
      <c r="O176" s="74">
        <v>15.86</v>
      </c>
      <c r="P176" s="77">
        <f t="shared" si="10"/>
        <v>43.24</v>
      </c>
      <c r="Q176" s="74">
        <v>315</v>
      </c>
      <c r="R176" s="78">
        <f t="shared" si="11"/>
        <v>13620.6</v>
      </c>
      <c r="S176" s="82"/>
      <c r="T176" s="79"/>
      <c r="V176" s="79" t="s">
        <v>24</v>
      </c>
      <c r="W176" s="80">
        <v>145</v>
      </c>
      <c r="X176" s="81">
        <f t="shared" si="12"/>
        <v>6269.8</v>
      </c>
      <c r="Y176" s="82">
        <v>260</v>
      </c>
      <c r="Z176" s="79">
        <f t="shared" si="13"/>
        <v>11242.4</v>
      </c>
      <c r="AA176" s="79">
        <f t="shared" si="14"/>
        <v>31132.800000000003</v>
      </c>
    </row>
    <row r="177" spans="1:38" s="83" customFormat="1" ht="17.100000000000001" customHeight="1">
      <c r="A177" s="32">
        <v>174</v>
      </c>
      <c r="B177" s="72">
        <v>45939</v>
      </c>
      <c r="C177" s="72">
        <v>45939</v>
      </c>
      <c r="D177" s="68">
        <v>251009001</v>
      </c>
      <c r="E177" s="74" t="s">
        <v>439</v>
      </c>
      <c r="F177" s="74" t="s">
        <v>440</v>
      </c>
      <c r="G177" s="74">
        <v>30</v>
      </c>
      <c r="H177" s="41">
        <v>115</v>
      </c>
      <c r="I177" s="36" t="s">
        <v>441</v>
      </c>
      <c r="J177" s="42" t="s">
        <v>23</v>
      </c>
      <c r="K177" s="43" t="s">
        <v>38</v>
      </c>
      <c r="L177" s="74" t="s">
        <v>39</v>
      </c>
      <c r="M177" s="74" t="s">
        <v>40</v>
      </c>
      <c r="N177" s="88">
        <v>41.5</v>
      </c>
      <c r="O177" s="88">
        <v>10.5</v>
      </c>
      <c r="P177" s="74">
        <f t="shared" si="10"/>
        <v>31</v>
      </c>
      <c r="Q177" s="74">
        <v>315</v>
      </c>
      <c r="R177" s="78">
        <f t="shared" si="11"/>
        <v>9765</v>
      </c>
      <c r="S177" s="74"/>
      <c r="T177" s="79"/>
      <c r="V177" s="79" t="s">
        <v>24</v>
      </c>
      <c r="W177" s="80">
        <v>145</v>
      </c>
      <c r="X177" s="81">
        <f t="shared" si="12"/>
        <v>4495</v>
      </c>
      <c r="Y177" s="82">
        <v>260</v>
      </c>
      <c r="Z177" s="79">
        <f t="shared" si="13"/>
        <v>8060</v>
      </c>
      <c r="AA177" s="79">
        <f t="shared" si="14"/>
        <v>22320</v>
      </c>
      <c r="AB177" s="91"/>
      <c r="AC177" s="90"/>
      <c r="AD177" s="92"/>
      <c r="AE177" s="93"/>
      <c r="AF177" s="90"/>
      <c r="AG177" s="93"/>
      <c r="AH177" s="90"/>
      <c r="AI177" s="92"/>
      <c r="AJ177" s="90"/>
      <c r="AK177" s="92"/>
      <c r="AL177" s="92"/>
    </row>
    <row r="178" spans="1:38" s="83" customFormat="1" ht="15.75">
      <c r="A178" s="32">
        <v>175</v>
      </c>
      <c r="B178" s="72">
        <v>45939</v>
      </c>
      <c r="C178" s="72">
        <v>45939</v>
      </c>
      <c r="D178" s="68">
        <v>251009002</v>
      </c>
      <c r="E178" s="74" t="s">
        <v>442</v>
      </c>
      <c r="F178" s="74" t="s">
        <v>443</v>
      </c>
      <c r="G178" s="74">
        <v>42</v>
      </c>
      <c r="H178" s="41">
        <v>115</v>
      </c>
      <c r="I178" s="36" t="s">
        <v>441</v>
      </c>
      <c r="J178" s="42" t="s">
        <v>23</v>
      </c>
      <c r="K178" s="43" t="s">
        <v>38</v>
      </c>
      <c r="L178" s="74" t="s">
        <v>70</v>
      </c>
      <c r="M178" s="74" t="s">
        <v>55</v>
      </c>
      <c r="N178" s="88">
        <v>55.26</v>
      </c>
      <c r="O178" s="88">
        <v>12.08</v>
      </c>
      <c r="P178" s="77">
        <f t="shared" si="10"/>
        <v>43.18</v>
      </c>
      <c r="Q178" s="74">
        <v>445</v>
      </c>
      <c r="R178" s="78">
        <f t="shared" si="11"/>
        <v>19215.099999999999</v>
      </c>
      <c r="S178" s="74"/>
      <c r="T178" s="79"/>
      <c r="V178" s="79" t="s">
        <v>24</v>
      </c>
      <c r="W178" s="80">
        <v>145</v>
      </c>
      <c r="X178" s="81">
        <f t="shared" si="12"/>
        <v>6261.1</v>
      </c>
      <c r="Y178" s="82">
        <v>260</v>
      </c>
      <c r="Z178" s="79">
        <f t="shared" si="13"/>
        <v>11226.8</v>
      </c>
      <c r="AA178" s="79">
        <f t="shared" si="14"/>
        <v>36703</v>
      </c>
    </row>
    <row r="179" spans="1:38" s="83" customFormat="1" ht="15.75">
      <c r="A179" s="32">
        <v>176</v>
      </c>
      <c r="B179" s="72">
        <v>45939</v>
      </c>
      <c r="C179" s="72">
        <v>45939</v>
      </c>
      <c r="D179" s="68">
        <v>251009003</v>
      </c>
      <c r="E179" s="74" t="s">
        <v>444</v>
      </c>
      <c r="F179" s="74" t="s">
        <v>445</v>
      </c>
      <c r="G179" s="74">
        <v>42</v>
      </c>
      <c r="H179" s="41">
        <v>115</v>
      </c>
      <c r="I179" s="36" t="s">
        <v>441</v>
      </c>
      <c r="J179" s="42" t="s">
        <v>23</v>
      </c>
      <c r="K179" s="43" t="s">
        <v>38</v>
      </c>
      <c r="L179" s="74" t="s">
        <v>198</v>
      </c>
      <c r="M179" s="74" t="s">
        <v>40</v>
      </c>
      <c r="N179" s="88">
        <v>59.04</v>
      </c>
      <c r="O179" s="88">
        <v>15.72</v>
      </c>
      <c r="P179" s="77">
        <f t="shared" si="10"/>
        <v>43.32</v>
      </c>
      <c r="Q179" s="74">
        <v>315</v>
      </c>
      <c r="R179" s="78">
        <f t="shared" si="11"/>
        <v>13645.8</v>
      </c>
      <c r="S179" s="74"/>
      <c r="T179" s="79"/>
      <c r="V179" s="79" t="s">
        <v>24</v>
      </c>
      <c r="W179" s="80">
        <v>145</v>
      </c>
      <c r="X179" s="81">
        <f t="shared" si="12"/>
        <v>6281.4</v>
      </c>
      <c r="Y179" s="82">
        <v>260</v>
      </c>
      <c r="Z179" s="79">
        <f t="shared" si="13"/>
        <v>11263.2</v>
      </c>
      <c r="AA179" s="79">
        <f t="shared" si="14"/>
        <v>31190.399999999998</v>
      </c>
    </row>
    <row r="180" spans="1:38" s="83" customFormat="1" ht="15.75">
      <c r="A180" s="32">
        <v>177</v>
      </c>
      <c r="B180" s="72">
        <v>45939</v>
      </c>
      <c r="C180" s="72">
        <v>45939</v>
      </c>
      <c r="D180" s="68">
        <v>251009004</v>
      </c>
      <c r="E180" s="74" t="s">
        <v>446</v>
      </c>
      <c r="F180" s="74" t="s">
        <v>447</v>
      </c>
      <c r="G180" s="74">
        <v>42</v>
      </c>
      <c r="H180" s="41">
        <v>115</v>
      </c>
      <c r="I180" s="36" t="s">
        <v>441</v>
      </c>
      <c r="J180" s="42" t="s">
        <v>23</v>
      </c>
      <c r="K180" s="43" t="s">
        <v>38</v>
      </c>
      <c r="L180" s="74" t="s">
        <v>125</v>
      </c>
      <c r="M180" s="74" t="s">
        <v>40</v>
      </c>
      <c r="N180" s="88">
        <v>59.12</v>
      </c>
      <c r="O180" s="74">
        <v>15.72</v>
      </c>
      <c r="P180" s="77">
        <f t="shared" si="10"/>
        <v>43.4</v>
      </c>
      <c r="Q180" s="74">
        <v>315</v>
      </c>
      <c r="R180" s="78">
        <f t="shared" si="11"/>
        <v>13671</v>
      </c>
      <c r="S180" s="74"/>
      <c r="T180" s="79"/>
      <c r="V180" s="79" t="s">
        <v>24</v>
      </c>
      <c r="W180" s="80">
        <v>145</v>
      </c>
      <c r="X180" s="81">
        <f t="shared" si="12"/>
        <v>6293</v>
      </c>
      <c r="Y180" s="82">
        <v>260</v>
      </c>
      <c r="Z180" s="79">
        <f t="shared" si="13"/>
        <v>11284</v>
      </c>
      <c r="AA180" s="79">
        <f t="shared" si="14"/>
        <v>31248</v>
      </c>
    </row>
    <row r="181" spans="1:38" s="87" customFormat="1" ht="15.75">
      <c r="A181" s="32">
        <v>178</v>
      </c>
      <c r="B181" s="72">
        <v>45939</v>
      </c>
      <c r="C181" s="72">
        <v>45939</v>
      </c>
      <c r="D181" s="68">
        <v>251009005</v>
      </c>
      <c r="E181" s="74" t="s">
        <v>448</v>
      </c>
      <c r="F181" s="74" t="s">
        <v>449</v>
      </c>
      <c r="G181" s="74">
        <v>46</v>
      </c>
      <c r="H181" s="41">
        <v>115</v>
      </c>
      <c r="I181" s="36" t="s">
        <v>441</v>
      </c>
      <c r="J181" s="42" t="s">
        <v>23</v>
      </c>
      <c r="K181" s="43" t="s">
        <v>38</v>
      </c>
      <c r="L181" s="74" t="s">
        <v>61</v>
      </c>
      <c r="M181" s="74" t="s">
        <v>55</v>
      </c>
      <c r="N181" s="74">
        <v>64.459999999999994</v>
      </c>
      <c r="O181" s="88">
        <v>15.92</v>
      </c>
      <c r="P181" s="77">
        <f t="shared" si="10"/>
        <v>48.539999999999992</v>
      </c>
      <c r="Q181" s="74">
        <v>445</v>
      </c>
      <c r="R181" s="78">
        <f t="shared" si="11"/>
        <v>21600.299999999996</v>
      </c>
      <c r="S181" s="74"/>
      <c r="T181" s="79"/>
      <c r="V181" s="79" t="s">
        <v>24</v>
      </c>
      <c r="W181" s="80">
        <v>145</v>
      </c>
      <c r="X181" s="81">
        <f t="shared" si="12"/>
        <v>7038.2999999999993</v>
      </c>
      <c r="Y181" s="82">
        <v>260</v>
      </c>
      <c r="Z181" s="79">
        <f t="shared" si="13"/>
        <v>12620.399999999998</v>
      </c>
      <c r="AA181" s="79">
        <f t="shared" si="14"/>
        <v>41258.999999999993</v>
      </c>
    </row>
    <row r="182" spans="1:38" s="83" customFormat="1" ht="15.75">
      <c r="A182" s="32">
        <v>179</v>
      </c>
      <c r="B182" s="72">
        <v>45939</v>
      </c>
      <c r="C182" s="72">
        <v>45939</v>
      </c>
      <c r="D182" s="68">
        <v>251009006</v>
      </c>
      <c r="E182" s="74" t="s">
        <v>450</v>
      </c>
      <c r="F182" s="74" t="s">
        <v>451</v>
      </c>
      <c r="G182" s="74">
        <v>47</v>
      </c>
      <c r="H182" s="52">
        <v>115</v>
      </c>
      <c r="I182" s="36" t="s">
        <v>441</v>
      </c>
      <c r="J182" s="42" t="s">
        <v>23</v>
      </c>
      <c r="K182" s="43" t="s">
        <v>38</v>
      </c>
      <c r="L182" s="76" t="s">
        <v>64</v>
      </c>
      <c r="M182" s="74" t="s">
        <v>55</v>
      </c>
      <c r="N182" s="74">
        <v>65.680000000000007</v>
      </c>
      <c r="O182" s="74">
        <v>16.399999999999999</v>
      </c>
      <c r="P182" s="85">
        <f t="shared" si="10"/>
        <v>49.280000000000008</v>
      </c>
      <c r="Q182" s="74">
        <v>445</v>
      </c>
      <c r="R182" s="78">
        <f t="shared" si="11"/>
        <v>21929.600000000002</v>
      </c>
      <c r="S182" s="74"/>
      <c r="T182" s="79"/>
      <c r="V182" s="79" t="s">
        <v>24</v>
      </c>
      <c r="W182" s="80">
        <v>145</v>
      </c>
      <c r="X182" s="81">
        <f t="shared" si="12"/>
        <v>7145.6000000000013</v>
      </c>
      <c r="Y182" s="82">
        <v>260</v>
      </c>
      <c r="Z182" s="82">
        <f t="shared" si="13"/>
        <v>12812.800000000003</v>
      </c>
      <c r="AA182" s="82">
        <f t="shared" si="14"/>
        <v>41888.000000000007</v>
      </c>
    </row>
    <row r="183" spans="1:38" s="83" customFormat="1" ht="15.75">
      <c r="A183" s="32">
        <v>180</v>
      </c>
      <c r="B183" s="72">
        <v>45940</v>
      </c>
      <c r="C183" s="72">
        <v>45941</v>
      </c>
      <c r="D183" s="68">
        <v>251011001</v>
      </c>
      <c r="E183" s="74" t="s">
        <v>452</v>
      </c>
      <c r="F183" s="74" t="s">
        <v>453</v>
      </c>
      <c r="G183" s="74">
        <v>42</v>
      </c>
      <c r="H183" s="41">
        <v>116</v>
      </c>
      <c r="I183" s="36" t="s">
        <v>454</v>
      </c>
      <c r="J183" s="42" t="s">
        <v>23</v>
      </c>
      <c r="K183" s="43" t="s">
        <v>38</v>
      </c>
      <c r="L183" s="76" t="s">
        <v>51</v>
      </c>
      <c r="M183" s="74" t="s">
        <v>40</v>
      </c>
      <c r="N183" s="74">
        <v>57.44</v>
      </c>
      <c r="O183" s="74">
        <v>15.24</v>
      </c>
      <c r="P183" s="77">
        <f t="shared" si="10"/>
        <v>42.199999999999996</v>
      </c>
      <c r="Q183" s="74">
        <v>315</v>
      </c>
      <c r="R183" s="78">
        <f t="shared" si="11"/>
        <v>13292.999999999998</v>
      </c>
      <c r="S183" s="80"/>
      <c r="T183" s="79"/>
      <c r="V183" s="79" t="s">
        <v>24</v>
      </c>
      <c r="W183" s="80">
        <v>145</v>
      </c>
      <c r="X183" s="81">
        <f t="shared" si="12"/>
        <v>6118.9999999999991</v>
      </c>
      <c r="Y183" s="82">
        <v>260</v>
      </c>
      <c r="Z183" s="79">
        <f t="shared" si="13"/>
        <v>10971.999999999998</v>
      </c>
      <c r="AA183" s="79">
        <f t="shared" si="14"/>
        <v>30383.999999999993</v>
      </c>
    </row>
    <row r="184" spans="1:38" s="87" customFormat="1" ht="15.75">
      <c r="A184" s="32">
        <v>181</v>
      </c>
      <c r="B184" s="72">
        <v>45940</v>
      </c>
      <c r="C184" s="72">
        <v>45941</v>
      </c>
      <c r="D184" s="68">
        <v>251011002</v>
      </c>
      <c r="E184" s="74" t="s">
        <v>455</v>
      </c>
      <c r="F184" s="74" t="s">
        <v>456</v>
      </c>
      <c r="G184" s="74">
        <v>40</v>
      </c>
      <c r="H184" s="41">
        <v>116</v>
      </c>
      <c r="I184" s="36" t="s">
        <v>454</v>
      </c>
      <c r="J184" s="42" t="s">
        <v>23</v>
      </c>
      <c r="K184" s="43" t="s">
        <v>38</v>
      </c>
      <c r="L184" s="76" t="s">
        <v>101</v>
      </c>
      <c r="M184" s="74" t="s">
        <v>55</v>
      </c>
      <c r="N184" s="74">
        <v>51.9</v>
      </c>
      <c r="O184" s="74">
        <v>11.48</v>
      </c>
      <c r="P184" s="77">
        <f t="shared" si="10"/>
        <v>40.42</v>
      </c>
      <c r="Q184" s="74">
        <v>445</v>
      </c>
      <c r="R184" s="78">
        <f t="shared" si="11"/>
        <v>17986.900000000001</v>
      </c>
      <c r="S184" s="80"/>
      <c r="T184" s="79"/>
      <c r="V184" s="79" t="s">
        <v>24</v>
      </c>
      <c r="W184" s="80">
        <v>145</v>
      </c>
      <c r="X184" s="81">
        <f t="shared" si="12"/>
        <v>5860.9000000000005</v>
      </c>
      <c r="Y184" s="82">
        <v>260</v>
      </c>
      <c r="Z184" s="79">
        <f t="shared" si="13"/>
        <v>10509.2</v>
      </c>
      <c r="AA184" s="79">
        <f t="shared" si="14"/>
        <v>34357</v>
      </c>
    </row>
    <row r="185" spans="1:38" s="83" customFormat="1" ht="15.75">
      <c r="A185" s="32">
        <v>182</v>
      </c>
      <c r="B185" s="72">
        <v>45940</v>
      </c>
      <c r="C185" s="72">
        <v>45941</v>
      </c>
      <c r="D185" s="68">
        <v>251011003</v>
      </c>
      <c r="E185" s="74" t="s">
        <v>457</v>
      </c>
      <c r="F185" s="74" t="s">
        <v>458</v>
      </c>
      <c r="G185" s="74">
        <v>45</v>
      </c>
      <c r="H185" s="41">
        <v>116</v>
      </c>
      <c r="I185" s="36" t="s">
        <v>454</v>
      </c>
      <c r="J185" s="42" t="s">
        <v>23</v>
      </c>
      <c r="K185" s="43" t="s">
        <v>38</v>
      </c>
      <c r="L185" s="76" t="s">
        <v>79</v>
      </c>
      <c r="M185" s="74" t="s">
        <v>55</v>
      </c>
      <c r="N185" s="74">
        <v>63.02</v>
      </c>
      <c r="O185" s="88">
        <v>15.78</v>
      </c>
      <c r="P185" s="77">
        <f t="shared" si="10"/>
        <v>47.24</v>
      </c>
      <c r="Q185" s="74">
        <v>445</v>
      </c>
      <c r="R185" s="78">
        <f t="shared" si="11"/>
        <v>21021.8</v>
      </c>
      <c r="S185" s="82"/>
      <c r="T185" s="79"/>
      <c r="V185" s="79" t="s">
        <v>24</v>
      </c>
      <c r="W185" s="80">
        <v>145</v>
      </c>
      <c r="X185" s="81">
        <f t="shared" si="12"/>
        <v>6849.8</v>
      </c>
      <c r="Y185" s="82">
        <v>260</v>
      </c>
      <c r="Z185" s="79">
        <f t="shared" si="13"/>
        <v>12282.4</v>
      </c>
      <c r="AA185" s="79">
        <f t="shared" si="14"/>
        <v>40154</v>
      </c>
    </row>
    <row r="186" spans="1:38" s="83" customFormat="1" ht="15.75">
      <c r="A186" s="32">
        <v>183</v>
      </c>
      <c r="B186" s="72">
        <v>45940</v>
      </c>
      <c r="C186" s="72">
        <v>45941</v>
      </c>
      <c r="D186" s="68">
        <v>251011005</v>
      </c>
      <c r="E186" s="74" t="s">
        <v>459</v>
      </c>
      <c r="F186" s="74" t="s">
        <v>460</v>
      </c>
      <c r="G186" s="74">
        <v>35</v>
      </c>
      <c r="H186" s="52">
        <v>101</v>
      </c>
      <c r="I186" s="53" t="s">
        <v>461</v>
      </c>
      <c r="J186" s="42" t="s">
        <v>23</v>
      </c>
      <c r="K186" s="36" t="s">
        <v>38</v>
      </c>
      <c r="L186" s="76" t="s">
        <v>149</v>
      </c>
      <c r="M186" s="74" t="s">
        <v>40</v>
      </c>
      <c r="N186" s="88">
        <v>47.76</v>
      </c>
      <c r="O186" s="74">
        <v>12.7</v>
      </c>
      <c r="P186" s="77">
        <f t="shared" si="10"/>
        <v>35.06</v>
      </c>
      <c r="Q186" s="74">
        <v>335</v>
      </c>
      <c r="R186" s="78">
        <f t="shared" si="11"/>
        <v>11745.1</v>
      </c>
      <c r="S186" s="74"/>
      <c r="T186" s="79"/>
      <c r="V186" s="79" t="s">
        <v>24</v>
      </c>
      <c r="W186" s="80">
        <v>145</v>
      </c>
      <c r="X186" s="82">
        <f t="shared" si="12"/>
        <v>5083.7000000000007</v>
      </c>
      <c r="Y186" s="82">
        <v>260</v>
      </c>
      <c r="Z186" s="79">
        <f t="shared" si="13"/>
        <v>9115.6</v>
      </c>
      <c r="AA186" s="79">
        <f t="shared" si="14"/>
        <v>25944.400000000001</v>
      </c>
    </row>
    <row r="187" spans="1:38" s="83" customFormat="1" ht="15.75">
      <c r="A187" s="32">
        <v>184</v>
      </c>
      <c r="B187" s="72">
        <v>45941</v>
      </c>
      <c r="C187" s="72">
        <v>45941</v>
      </c>
      <c r="D187" s="68" t="s">
        <v>462</v>
      </c>
      <c r="E187" s="74" t="s">
        <v>463</v>
      </c>
      <c r="F187" s="74" t="s">
        <v>464</v>
      </c>
      <c r="G187" s="74" t="s">
        <v>465</v>
      </c>
      <c r="H187" s="52" t="s">
        <v>466</v>
      </c>
      <c r="I187" s="53" t="s">
        <v>46</v>
      </c>
      <c r="J187" s="42" t="s">
        <v>23</v>
      </c>
      <c r="K187" s="36" t="s">
        <v>38</v>
      </c>
      <c r="L187" s="76" t="s">
        <v>116</v>
      </c>
      <c r="M187" s="74" t="s">
        <v>40</v>
      </c>
      <c r="N187" s="88" t="s">
        <v>467</v>
      </c>
      <c r="O187" s="74" t="s">
        <v>468</v>
      </c>
      <c r="P187" s="77">
        <f t="shared" si="10"/>
        <v>45.480000000000004</v>
      </c>
      <c r="Q187" s="74" t="s">
        <v>469</v>
      </c>
      <c r="R187" s="78">
        <f t="shared" si="11"/>
        <v>14326.2</v>
      </c>
      <c r="S187" s="74" t="s">
        <v>470</v>
      </c>
      <c r="T187" s="79"/>
      <c r="V187" s="83" t="s">
        <v>24</v>
      </c>
      <c r="W187" s="79">
        <v>145</v>
      </c>
      <c r="X187" s="80">
        <f t="shared" si="12"/>
        <v>6594.6</v>
      </c>
      <c r="Y187" s="82">
        <v>260</v>
      </c>
      <c r="Z187" s="82">
        <f t="shared" si="13"/>
        <v>11824.800000000001</v>
      </c>
      <c r="AA187" s="79">
        <f t="shared" si="14"/>
        <v>32745.600000000006</v>
      </c>
    </row>
    <row r="188" spans="1:38" s="83" customFormat="1" ht="15.75">
      <c r="A188" s="32">
        <v>185</v>
      </c>
      <c r="B188" s="72">
        <v>45941</v>
      </c>
      <c r="C188" s="72">
        <v>45941</v>
      </c>
      <c r="D188" s="68" t="s">
        <v>471</v>
      </c>
      <c r="E188" s="74" t="s">
        <v>472</v>
      </c>
      <c r="F188" s="74" t="s">
        <v>473</v>
      </c>
      <c r="G188" s="74" t="s">
        <v>474</v>
      </c>
      <c r="H188" s="52" t="s">
        <v>466</v>
      </c>
      <c r="I188" s="53" t="s">
        <v>46</v>
      </c>
      <c r="J188" s="42" t="s">
        <v>23</v>
      </c>
      <c r="K188" s="36" t="s">
        <v>38</v>
      </c>
      <c r="L188" s="76" t="s">
        <v>39</v>
      </c>
      <c r="M188" s="74" t="s">
        <v>40</v>
      </c>
      <c r="N188" s="88" t="s">
        <v>475</v>
      </c>
      <c r="O188" s="74" t="s">
        <v>476</v>
      </c>
      <c r="P188" s="77">
        <f t="shared" si="10"/>
        <v>31.34</v>
      </c>
      <c r="Q188" s="74" t="s">
        <v>469</v>
      </c>
      <c r="R188" s="78">
        <f t="shared" si="11"/>
        <v>9872.1</v>
      </c>
      <c r="S188" s="74" t="s">
        <v>470</v>
      </c>
      <c r="T188" s="79"/>
      <c r="V188" s="83" t="s">
        <v>24</v>
      </c>
      <c r="W188" s="79">
        <v>145</v>
      </c>
      <c r="X188" s="80">
        <f t="shared" si="12"/>
        <v>4544.3</v>
      </c>
      <c r="Y188" s="82">
        <v>260</v>
      </c>
      <c r="Z188" s="82">
        <f t="shared" si="13"/>
        <v>8148.4</v>
      </c>
      <c r="AA188" s="79">
        <f t="shared" si="14"/>
        <v>22564.800000000003</v>
      </c>
    </row>
    <row r="189" spans="1:38" s="83" customFormat="1" ht="15.75">
      <c r="A189" s="32">
        <v>186</v>
      </c>
      <c r="B189" s="72">
        <v>45941</v>
      </c>
      <c r="C189" s="72">
        <v>45941</v>
      </c>
      <c r="D189" s="68" t="s">
        <v>477</v>
      </c>
      <c r="E189" s="74" t="s">
        <v>478</v>
      </c>
      <c r="F189" s="74" t="s">
        <v>479</v>
      </c>
      <c r="G189" s="74" t="s">
        <v>480</v>
      </c>
      <c r="H189" s="52" t="s">
        <v>466</v>
      </c>
      <c r="I189" s="53" t="s">
        <v>46</v>
      </c>
      <c r="J189" s="42" t="s">
        <v>23</v>
      </c>
      <c r="K189" s="36" t="s">
        <v>38</v>
      </c>
      <c r="L189" s="76" t="s">
        <v>119</v>
      </c>
      <c r="M189" s="74" t="s">
        <v>48</v>
      </c>
      <c r="N189" s="88" t="s">
        <v>481</v>
      </c>
      <c r="O189" s="74" t="s">
        <v>482</v>
      </c>
      <c r="P189" s="77">
        <f t="shared" si="10"/>
        <v>46.519999999999996</v>
      </c>
      <c r="Q189" s="74" t="s">
        <v>483</v>
      </c>
      <c r="R189" s="78">
        <f t="shared" si="11"/>
        <v>25353.399999999998</v>
      </c>
      <c r="S189" s="74" t="s">
        <v>470</v>
      </c>
      <c r="T189" s="79"/>
      <c r="V189" s="83" t="s">
        <v>24</v>
      </c>
      <c r="W189" s="79">
        <v>145</v>
      </c>
      <c r="X189" s="80">
        <f t="shared" si="12"/>
        <v>6745.4</v>
      </c>
      <c r="Y189" s="82">
        <v>260</v>
      </c>
      <c r="Z189" s="82">
        <f t="shared" si="13"/>
        <v>12095.199999999999</v>
      </c>
      <c r="AA189" s="79">
        <f t="shared" si="14"/>
        <v>44193.999999999993</v>
      </c>
    </row>
    <row r="190" spans="1:38" s="83" customFormat="1" ht="15.75">
      <c r="A190" s="32">
        <v>187</v>
      </c>
      <c r="B190" s="72">
        <v>45941</v>
      </c>
      <c r="C190" s="72">
        <v>45941</v>
      </c>
      <c r="D190" s="68" t="s">
        <v>484</v>
      </c>
      <c r="E190" s="74" t="s">
        <v>485</v>
      </c>
      <c r="F190" s="74" t="s">
        <v>486</v>
      </c>
      <c r="G190" s="74" t="s">
        <v>487</v>
      </c>
      <c r="H190" s="52" t="s">
        <v>466</v>
      </c>
      <c r="I190" s="53" t="s">
        <v>46</v>
      </c>
      <c r="J190" s="42" t="s">
        <v>23</v>
      </c>
      <c r="K190" s="36" t="s">
        <v>38</v>
      </c>
      <c r="L190" s="76" t="s">
        <v>82</v>
      </c>
      <c r="M190" s="74" t="s">
        <v>48</v>
      </c>
      <c r="N190" s="88" t="s">
        <v>488</v>
      </c>
      <c r="O190" s="74" t="s">
        <v>489</v>
      </c>
      <c r="P190" s="77">
        <f t="shared" si="10"/>
        <v>44.68</v>
      </c>
      <c r="Q190" s="74" t="s">
        <v>483</v>
      </c>
      <c r="R190" s="78">
        <f t="shared" si="11"/>
        <v>24350.6</v>
      </c>
      <c r="S190" s="74" t="s">
        <v>470</v>
      </c>
      <c r="T190" s="79"/>
      <c r="V190" s="83" t="s">
        <v>24</v>
      </c>
      <c r="W190" s="79">
        <v>145</v>
      </c>
      <c r="X190" s="80">
        <f t="shared" si="12"/>
        <v>6478.6</v>
      </c>
      <c r="Y190" s="82">
        <v>260</v>
      </c>
      <c r="Z190" s="82">
        <f t="shared" si="13"/>
        <v>11616.8</v>
      </c>
      <c r="AA190" s="79">
        <f t="shared" si="14"/>
        <v>42446</v>
      </c>
    </row>
    <row r="191" spans="1:38" s="83" customFormat="1" ht="15.75">
      <c r="A191" s="32">
        <v>188</v>
      </c>
      <c r="B191" s="72">
        <v>45941</v>
      </c>
      <c r="C191" s="72">
        <v>45941</v>
      </c>
      <c r="D191" s="68" t="s">
        <v>490</v>
      </c>
      <c r="E191" s="74" t="s">
        <v>491</v>
      </c>
      <c r="F191" s="74" t="s">
        <v>492</v>
      </c>
      <c r="G191" s="74" t="s">
        <v>493</v>
      </c>
      <c r="H191" s="52" t="s">
        <v>466</v>
      </c>
      <c r="I191" s="53" t="s">
        <v>46</v>
      </c>
      <c r="J191" s="42" t="s">
        <v>23</v>
      </c>
      <c r="K191" s="36" t="s">
        <v>38</v>
      </c>
      <c r="L191" s="76" t="s">
        <v>172</v>
      </c>
      <c r="M191" s="74" t="s">
        <v>40</v>
      </c>
      <c r="N191" s="88" t="s">
        <v>494</v>
      </c>
      <c r="O191" s="74" t="s">
        <v>495</v>
      </c>
      <c r="P191" s="77">
        <f t="shared" si="10"/>
        <v>59.38</v>
      </c>
      <c r="Q191" s="74" t="s">
        <v>469</v>
      </c>
      <c r="R191" s="78">
        <f t="shared" si="11"/>
        <v>18704.7</v>
      </c>
      <c r="S191" s="74" t="s">
        <v>470</v>
      </c>
      <c r="T191" s="79"/>
      <c r="V191" s="83" t="s">
        <v>24</v>
      </c>
      <c r="W191" s="79">
        <v>145</v>
      </c>
      <c r="X191" s="80">
        <f t="shared" si="12"/>
        <v>8610.1</v>
      </c>
      <c r="Y191" s="82">
        <v>260</v>
      </c>
      <c r="Z191" s="82">
        <f t="shared" si="13"/>
        <v>15438.800000000001</v>
      </c>
      <c r="AA191" s="79">
        <f t="shared" si="14"/>
        <v>42753.600000000006</v>
      </c>
    </row>
    <row r="192" spans="1:38" s="83" customFormat="1" ht="15.75">
      <c r="A192" s="32">
        <v>189</v>
      </c>
      <c r="B192" s="72">
        <v>45941</v>
      </c>
      <c r="C192" s="72">
        <v>45941</v>
      </c>
      <c r="D192" s="68" t="s">
        <v>496</v>
      </c>
      <c r="E192" s="74" t="s">
        <v>497</v>
      </c>
      <c r="F192" s="74" t="s">
        <v>498</v>
      </c>
      <c r="G192" s="74" t="s">
        <v>499</v>
      </c>
      <c r="H192" s="52" t="s">
        <v>500</v>
      </c>
      <c r="I192" s="53" t="s">
        <v>501</v>
      </c>
      <c r="J192" s="42" t="s">
        <v>23</v>
      </c>
      <c r="K192" s="36" t="s">
        <v>38</v>
      </c>
      <c r="L192" s="76" t="s">
        <v>86</v>
      </c>
      <c r="M192" s="74" t="s">
        <v>502</v>
      </c>
      <c r="N192" s="88" t="s">
        <v>503</v>
      </c>
      <c r="O192" s="74" t="s">
        <v>504</v>
      </c>
      <c r="P192" s="77">
        <f t="shared" si="10"/>
        <v>41</v>
      </c>
      <c r="Q192" s="74">
        <v>425</v>
      </c>
      <c r="R192" s="78">
        <f t="shared" si="11"/>
        <v>17425</v>
      </c>
      <c r="S192" s="74" t="s">
        <v>470</v>
      </c>
      <c r="T192" s="79"/>
      <c r="V192" s="83" t="s">
        <v>24</v>
      </c>
      <c r="W192" s="79">
        <v>145</v>
      </c>
      <c r="X192" s="80">
        <f t="shared" si="12"/>
        <v>5945</v>
      </c>
      <c r="Y192" s="82">
        <v>150</v>
      </c>
      <c r="Z192" s="82">
        <f t="shared" si="13"/>
        <v>6150</v>
      </c>
      <c r="AA192" s="79">
        <f t="shared" si="14"/>
        <v>29520</v>
      </c>
    </row>
    <row r="193" spans="1:27" s="83" customFormat="1" ht="15.75">
      <c r="A193" s="32">
        <v>190</v>
      </c>
      <c r="B193" s="72">
        <v>45941</v>
      </c>
      <c r="C193" s="72">
        <v>45941</v>
      </c>
      <c r="D193" s="68" t="s">
        <v>505</v>
      </c>
      <c r="E193" s="74" t="s">
        <v>506</v>
      </c>
      <c r="F193" s="74" t="s">
        <v>507</v>
      </c>
      <c r="G193" s="74" t="s">
        <v>508</v>
      </c>
      <c r="H193" s="52" t="s">
        <v>500</v>
      </c>
      <c r="I193" s="53" t="s">
        <v>501</v>
      </c>
      <c r="J193" s="42" t="s">
        <v>23</v>
      </c>
      <c r="K193" s="36" t="s">
        <v>38</v>
      </c>
      <c r="L193" s="76" t="s">
        <v>509</v>
      </c>
      <c r="M193" s="74" t="s">
        <v>502</v>
      </c>
      <c r="N193" s="88" t="s">
        <v>510</v>
      </c>
      <c r="O193" s="74" t="s">
        <v>511</v>
      </c>
      <c r="P193" s="77">
        <f t="shared" si="10"/>
        <v>37.42</v>
      </c>
      <c r="Q193" s="74">
        <v>425</v>
      </c>
      <c r="R193" s="78">
        <f t="shared" si="11"/>
        <v>15903.5</v>
      </c>
      <c r="S193" s="74" t="s">
        <v>470</v>
      </c>
      <c r="T193" s="79"/>
      <c r="V193" s="83" t="s">
        <v>24</v>
      </c>
      <c r="W193" s="79">
        <v>145</v>
      </c>
      <c r="X193" s="80">
        <f t="shared" si="12"/>
        <v>5425.9000000000005</v>
      </c>
      <c r="Y193" s="82">
        <v>150</v>
      </c>
      <c r="Z193" s="82">
        <f t="shared" si="13"/>
        <v>5613</v>
      </c>
      <c r="AA193" s="79">
        <f t="shared" si="14"/>
        <v>26942.400000000001</v>
      </c>
    </row>
    <row r="194" spans="1:27" s="83" customFormat="1" ht="15.75">
      <c r="A194" s="32">
        <v>191</v>
      </c>
      <c r="B194" s="72">
        <v>45941</v>
      </c>
      <c r="C194" s="72">
        <v>45941</v>
      </c>
      <c r="D194" s="68" t="s">
        <v>512</v>
      </c>
      <c r="E194" s="74" t="s">
        <v>513</v>
      </c>
      <c r="F194" s="74" t="s">
        <v>514</v>
      </c>
      <c r="G194" s="74" t="s">
        <v>515</v>
      </c>
      <c r="H194" s="52" t="s">
        <v>466</v>
      </c>
      <c r="I194" s="53" t="s">
        <v>46</v>
      </c>
      <c r="J194" s="42" t="s">
        <v>23</v>
      </c>
      <c r="K194" s="36" t="s">
        <v>38</v>
      </c>
      <c r="L194" s="76" t="s">
        <v>516</v>
      </c>
      <c r="M194" s="74" t="s">
        <v>48</v>
      </c>
      <c r="N194" s="88" t="s">
        <v>517</v>
      </c>
      <c r="O194" s="74" t="s">
        <v>518</v>
      </c>
      <c r="P194" s="77">
        <f t="shared" si="10"/>
        <v>48.7</v>
      </c>
      <c r="Q194" s="74" t="s">
        <v>483</v>
      </c>
      <c r="R194" s="78">
        <f t="shared" si="11"/>
        <v>26541.5</v>
      </c>
      <c r="S194" s="74" t="s">
        <v>470</v>
      </c>
      <c r="T194" s="79"/>
      <c r="V194" s="83" t="s">
        <v>24</v>
      </c>
      <c r="W194" s="79">
        <v>145</v>
      </c>
      <c r="X194" s="80">
        <f t="shared" si="12"/>
        <v>7061.5</v>
      </c>
      <c r="Y194" s="82">
        <v>260</v>
      </c>
      <c r="Z194" s="82">
        <f t="shared" si="13"/>
        <v>12662</v>
      </c>
      <c r="AA194" s="79">
        <f t="shared" si="14"/>
        <v>46265</v>
      </c>
    </row>
    <row r="195" spans="1:27" s="83" customFormat="1" ht="15.75">
      <c r="A195" s="32">
        <v>192</v>
      </c>
      <c r="B195" s="72">
        <v>45941</v>
      </c>
      <c r="C195" s="72">
        <v>45941</v>
      </c>
      <c r="D195" s="68" t="s">
        <v>519</v>
      </c>
      <c r="E195" s="74" t="s">
        <v>520</v>
      </c>
      <c r="F195" s="74" t="s">
        <v>498</v>
      </c>
      <c r="G195" s="74" t="s">
        <v>521</v>
      </c>
      <c r="H195" s="52" t="s">
        <v>466</v>
      </c>
      <c r="I195" s="53" t="s">
        <v>46</v>
      </c>
      <c r="J195" s="42" t="s">
        <v>23</v>
      </c>
      <c r="K195" s="36" t="s">
        <v>38</v>
      </c>
      <c r="L195" s="76" t="s">
        <v>125</v>
      </c>
      <c r="M195" s="74" t="s">
        <v>55</v>
      </c>
      <c r="N195" s="88" t="s">
        <v>522</v>
      </c>
      <c r="O195" s="74" t="s">
        <v>523</v>
      </c>
      <c r="P195" s="77">
        <f t="shared" si="10"/>
        <v>50.9</v>
      </c>
      <c r="Q195" s="74" t="s">
        <v>524</v>
      </c>
      <c r="R195" s="78">
        <f t="shared" si="11"/>
        <v>22650.5</v>
      </c>
      <c r="S195" s="74" t="s">
        <v>470</v>
      </c>
      <c r="T195" s="79"/>
      <c r="V195" s="83" t="s">
        <v>24</v>
      </c>
      <c r="W195" s="79">
        <v>145</v>
      </c>
      <c r="X195" s="80">
        <f t="shared" si="12"/>
        <v>7380.5</v>
      </c>
      <c r="Y195" s="82">
        <v>260</v>
      </c>
      <c r="Z195" s="82">
        <f t="shared" si="13"/>
        <v>13234</v>
      </c>
      <c r="AA195" s="79">
        <f t="shared" si="14"/>
        <v>43265</v>
      </c>
    </row>
    <row r="196" spans="1:27" s="83" customFormat="1" ht="15.75">
      <c r="A196" s="32">
        <v>193</v>
      </c>
      <c r="B196" s="72">
        <v>45941</v>
      </c>
      <c r="C196" s="72">
        <v>45941</v>
      </c>
      <c r="D196" s="68" t="s">
        <v>525</v>
      </c>
      <c r="E196" s="74" t="s">
        <v>526</v>
      </c>
      <c r="F196" s="74" t="s">
        <v>527</v>
      </c>
      <c r="G196" s="74" t="s">
        <v>528</v>
      </c>
      <c r="H196" s="52" t="s">
        <v>466</v>
      </c>
      <c r="I196" s="53" t="s">
        <v>46</v>
      </c>
      <c r="J196" s="42" t="s">
        <v>23</v>
      </c>
      <c r="K196" s="36" t="s">
        <v>38</v>
      </c>
      <c r="L196" s="76" t="s">
        <v>113</v>
      </c>
      <c r="M196" s="74" t="s">
        <v>55</v>
      </c>
      <c r="N196" s="88" t="s">
        <v>529</v>
      </c>
      <c r="O196" s="74" t="s">
        <v>530</v>
      </c>
      <c r="P196" s="77">
        <f t="shared" ref="P196:P259" si="15">N196-O196</f>
        <v>39.300000000000004</v>
      </c>
      <c r="Q196" s="74" t="s">
        <v>524</v>
      </c>
      <c r="R196" s="78">
        <f t="shared" ref="R196:R259" si="16">Q196*P196</f>
        <v>17488.500000000004</v>
      </c>
      <c r="S196" s="74" t="s">
        <v>470</v>
      </c>
      <c r="T196" s="79"/>
      <c r="V196" s="83" t="s">
        <v>24</v>
      </c>
      <c r="W196" s="79">
        <v>145</v>
      </c>
      <c r="X196" s="80">
        <f t="shared" ref="X196:X259" si="17">W196*P196</f>
        <v>5698.5000000000009</v>
      </c>
      <c r="Y196" s="82">
        <v>260</v>
      </c>
      <c r="Z196" s="82">
        <f t="shared" ref="Z196:Z259" si="18">Y196*P196</f>
        <v>10218.000000000002</v>
      </c>
      <c r="AA196" s="79">
        <f t="shared" ref="AA196:AA259" si="19">R196+X196+Z196</f>
        <v>33405.000000000007</v>
      </c>
    </row>
    <row r="197" spans="1:27" s="83" customFormat="1" ht="15.75">
      <c r="A197" s="32">
        <v>194</v>
      </c>
      <c r="B197" s="72">
        <v>45941</v>
      </c>
      <c r="C197" s="72">
        <v>45941</v>
      </c>
      <c r="D197" s="68" t="s">
        <v>531</v>
      </c>
      <c r="E197" s="74" t="s">
        <v>532</v>
      </c>
      <c r="F197" s="74" t="s">
        <v>533</v>
      </c>
      <c r="G197" s="74" t="s">
        <v>534</v>
      </c>
      <c r="H197" s="52" t="s">
        <v>466</v>
      </c>
      <c r="I197" s="53" t="s">
        <v>46</v>
      </c>
      <c r="J197" s="42" t="s">
        <v>23</v>
      </c>
      <c r="K197" s="36" t="s">
        <v>38</v>
      </c>
      <c r="L197" s="76" t="s">
        <v>64</v>
      </c>
      <c r="M197" s="74" t="s">
        <v>40</v>
      </c>
      <c r="N197" s="88" t="s">
        <v>535</v>
      </c>
      <c r="O197" s="74" t="s">
        <v>536</v>
      </c>
      <c r="P197" s="77">
        <f t="shared" si="15"/>
        <v>47.680000000000007</v>
      </c>
      <c r="Q197" s="74" t="s">
        <v>469</v>
      </c>
      <c r="R197" s="78">
        <f t="shared" si="16"/>
        <v>15019.200000000003</v>
      </c>
      <c r="S197" s="74" t="s">
        <v>470</v>
      </c>
      <c r="T197" s="79"/>
      <c r="V197" s="83" t="s">
        <v>24</v>
      </c>
      <c r="W197" s="79">
        <v>145</v>
      </c>
      <c r="X197" s="80">
        <f t="shared" si="17"/>
        <v>6913.6000000000013</v>
      </c>
      <c r="Y197" s="82">
        <v>260</v>
      </c>
      <c r="Z197" s="82">
        <f t="shared" si="18"/>
        <v>12396.800000000001</v>
      </c>
      <c r="AA197" s="79">
        <f t="shared" si="19"/>
        <v>34329.600000000006</v>
      </c>
    </row>
    <row r="198" spans="1:27" s="83" customFormat="1" ht="15.75">
      <c r="A198" s="32">
        <v>195</v>
      </c>
      <c r="B198" s="72">
        <v>45941</v>
      </c>
      <c r="C198" s="72">
        <v>45941</v>
      </c>
      <c r="D198" s="68" t="s">
        <v>537</v>
      </c>
      <c r="E198" s="74" t="s">
        <v>538</v>
      </c>
      <c r="F198" s="74" t="s">
        <v>539</v>
      </c>
      <c r="G198" s="74" t="s">
        <v>540</v>
      </c>
      <c r="H198" s="52" t="s">
        <v>466</v>
      </c>
      <c r="I198" s="53" t="s">
        <v>46</v>
      </c>
      <c r="J198" s="42" t="s">
        <v>23</v>
      </c>
      <c r="K198" s="36" t="s">
        <v>38</v>
      </c>
      <c r="L198" s="76" t="s">
        <v>70</v>
      </c>
      <c r="M198" s="74" t="s">
        <v>55</v>
      </c>
      <c r="N198" s="88" t="s">
        <v>541</v>
      </c>
      <c r="O198" s="74" t="s">
        <v>542</v>
      </c>
      <c r="P198" s="77">
        <f t="shared" si="15"/>
        <v>41.480000000000004</v>
      </c>
      <c r="Q198" s="74" t="s">
        <v>524</v>
      </c>
      <c r="R198" s="78">
        <f t="shared" si="16"/>
        <v>18458.600000000002</v>
      </c>
      <c r="S198" s="74" t="s">
        <v>470</v>
      </c>
      <c r="T198" s="79"/>
      <c r="V198" s="83" t="s">
        <v>24</v>
      </c>
      <c r="W198" s="79">
        <v>145</v>
      </c>
      <c r="X198" s="80">
        <f t="shared" si="17"/>
        <v>6014.6</v>
      </c>
      <c r="Y198" s="82">
        <v>260</v>
      </c>
      <c r="Z198" s="82">
        <f t="shared" si="18"/>
        <v>10784.800000000001</v>
      </c>
      <c r="AA198" s="79">
        <f t="shared" si="19"/>
        <v>35258.000000000007</v>
      </c>
    </row>
    <row r="199" spans="1:27" s="83" customFormat="1" ht="15.75">
      <c r="A199" s="32">
        <v>196</v>
      </c>
      <c r="B199" s="72">
        <v>45941</v>
      </c>
      <c r="C199" s="72">
        <v>45941</v>
      </c>
      <c r="D199" s="68" t="s">
        <v>543</v>
      </c>
      <c r="E199" s="74" t="s">
        <v>544</v>
      </c>
      <c r="F199" s="74" t="s">
        <v>545</v>
      </c>
      <c r="G199" s="74" t="s">
        <v>546</v>
      </c>
      <c r="H199" s="52" t="s">
        <v>466</v>
      </c>
      <c r="I199" s="53" t="s">
        <v>46</v>
      </c>
      <c r="J199" s="42" t="s">
        <v>23</v>
      </c>
      <c r="K199" s="36" t="s">
        <v>38</v>
      </c>
      <c r="L199" s="76" t="s">
        <v>61</v>
      </c>
      <c r="M199" s="74" t="s">
        <v>48</v>
      </c>
      <c r="N199" s="88" t="s">
        <v>547</v>
      </c>
      <c r="O199" s="74" t="s">
        <v>548</v>
      </c>
      <c r="P199" s="77">
        <f t="shared" si="15"/>
        <v>42.84</v>
      </c>
      <c r="Q199" s="74" t="s">
        <v>483</v>
      </c>
      <c r="R199" s="78">
        <f t="shared" si="16"/>
        <v>23347.800000000003</v>
      </c>
      <c r="S199" s="74" t="s">
        <v>470</v>
      </c>
      <c r="T199" s="79"/>
      <c r="V199" s="83" t="s">
        <v>24</v>
      </c>
      <c r="W199" s="79">
        <v>145</v>
      </c>
      <c r="X199" s="80">
        <f t="shared" si="17"/>
        <v>6211.8</v>
      </c>
      <c r="Y199" s="82">
        <v>260</v>
      </c>
      <c r="Z199" s="82">
        <f t="shared" si="18"/>
        <v>11138.400000000001</v>
      </c>
      <c r="AA199" s="79">
        <f t="shared" si="19"/>
        <v>40698</v>
      </c>
    </row>
    <row r="200" spans="1:27" s="83" customFormat="1" ht="15.75">
      <c r="A200" s="32">
        <v>197</v>
      </c>
      <c r="B200" s="72">
        <v>45941</v>
      </c>
      <c r="C200" s="72">
        <v>45941</v>
      </c>
      <c r="D200" s="68" t="s">
        <v>549</v>
      </c>
      <c r="E200" s="74" t="s">
        <v>550</v>
      </c>
      <c r="F200" s="74" t="s">
        <v>551</v>
      </c>
      <c r="G200" s="74" t="s">
        <v>540</v>
      </c>
      <c r="H200" s="52" t="s">
        <v>466</v>
      </c>
      <c r="I200" s="53" t="s">
        <v>46</v>
      </c>
      <c r="J200" s="42" t="s">
        <v>23</v>
      </c>
      <c r="K200" s="36" t="s">
        <v>38</v>
      </c>
      <c r="L200" s="76" t="s">
        <v>122</v>
      </c>
      <c r="M200" s="74" t="s">
        <v>48</v>
      </c>
      <c r="N200" s="88" t="s">
        <v>552</v>
      </c>
      <c r="O200" s="74" t="s">
        <v>553</v>
      </c>
      <c r="P200" s="77">
        <f t="shared" si="15"/>
        <v>42.22</v>
      </c>
      <c r="Q200" s="74" t="s">
        <v>483</v>
      </c>
      <c r="R200" s="78">
        <f t="shared" si="16"/>
        <v>23009.899999999998</v>
      </c>
      <c r="S200" s="74" t="s">
        <v>470</v>
      </c>
      <c r="T200" s="79"/>
      <c r="V200" s="83" t="s">
        <v>24</v>
      </c>
      <c r="W200" s="79">
        <v>145</v>
      </c>
      <c r="X200" s="80">
        <f t="shared" si="17"/>
        <v>6121.9</v>
      </c>
      <c r="Y200" s="82">
        <v>260</v>
      </c>
      <c r="Z200" s="82">
        <f t="shared" si="18"/>
        <v>10977.199999999999</v>
      </c>
      <c r="AA200" s="79">
        <f t="shared" si="19"/>
        <v>40108.999999999993</v>
      </c>
    </row>
    <row r="201" spans="1:27" s="83" customFormat="1" ht="15.75">
      <c r="A201" s="32">
        <v>198</v>
      </c>
      <c r="B201" s="72">
        <v>45941</v>
      </c>
      <c r="C201" s="72">
        <v>45941</v>
      </c>
      <c r="D201" s="68" t="s">
        <v>554</v>
      </c>
      <c r="E201" s="74" t="s">
        <v>555</v>
      </c>
      <c r="F201" s="74" t="s">
        <v>556</v>
      </c>
      <c r="G201" s="74" t="s">
        <v>557</v>
      </c>
      <c r="H201" s="52" t="s">
        <v>500</v>
      </c>
      <c r="I201" s="53" t="s">
        <v>501</v>
      </c>
      <c r="J201" s="42" t="s">
        <v>23</v>
      </c>
      <c r="K201" s="36" t="s">
        <v>38</v>
      </c>
      <c r="L201" s="76" t="s">
        <v>110</v>
      </c>
      <c r="M201" s="74" t="s">
        <v>502</v>
      </c>
      <c r="N201" s="88" t="s">
        <v>558</v>
      </c>
      <c r="O201" s="74" t="s">
        <v>559</v>
      </c>
      <c r="P201" s="77">
        <f t="shared" si="15"/>
        <v>33.299999999999997</v>
      </c>
      <c r="Q201" s="74">
        <v>425</v>
      </c>
      <c r="R201" s="78">
        <f t="shared" si="16"/>
        <v>14152.499999999998</v>
      </c>
      <c r="S201" s="74" t="s">
        <v>470</v>
      </c>
      <c r="T201" s="79"/>
      <c r="V201" s="83" t="s">
        <v>24</v>
      </c>
      <c r="W201" s="79">
        <v>145</v>
      </c>
      <c r="X201" s="80">
        <f t="shared" si="17"/>
        <v>4828.5</v>
      </c>
      <c r="Y201" s="82">
        <v>150</v>
      </c>
      <c r="Z201" s="82">
        <f t="shared" si="18"/>
        <v>4995</v>
      </c>
      <c r="AA201" s="79">
        <f t="shared" si="19"/>
        <v>23976</v>
      </c>
    </row>
    <row r="202" spans="1:27" s="83" customFormat="1" ht="15.75">
      <c r="A202" s="32">
        <v>199</v>
      </c>
      <c r="B202" s="72">
        <v>45941</v>
      </c>
      <c r="C202" s="72">
        <v>45941</v>
      </c>
      <c r="D202" s="68" t="s">
        <v>560</v>
      </c>
      <c r="E202" s="74" t="s">
        <v>561</v>
      </c>
      <c r="F202" s="74" t="s">
        <v>562</v>
      </c>
      <c r="G202" s="74" t="s">
        <v>557</v>
      </c>
      <c r="H202" s="52" t="s">
        <v>500</v>
      </c>
      <c r="I202" s="53" t="s">
        <v>501</v>
      </c>
      <c r="J202" s="42" t="s">
        <v>23</v>
      </c>
      <c r="K202" s="36" t="s">
        <v>38</v>
      </c>
      <c r="L202" s="76" t="s">
        <v>563</v>
      </c>
      <c r="M202" s="74" t="s">
        <v>502</v>
      </c>
      <c r="N202" s="88" t="s">
        <v>564</v>
      </c>
      <c r="O202" s="74" t="s">
        <v>565</v>
      </c>
      <c r="P202" s="77">
        <f t="shared" si="15"/>
        <v>33.200000000000003</v>
      </c>
      <c r="Q202" s="74">
        <v>425</v>
      </c>
      <c r="R202" s="78">
        <f t="shared" si="16"/>
        <v>14110.000000000002</v>
      </c>
      <c r="S202" s="74" t="s">
        <v>470</v>
      </c>
      <c r="T202" s="79"/>
      <c r="V202" s="83" t="s">
        <v>24</v>
      </c>
      <c r="W202" s="79">
        <v>145</v>
      </c>
      <c r="X202" s="80">
        <f t="shared" si="17"/>
        <v>4814</v>
      </c>
      <c r="Y202" s="82">
        <v>150</v>
      </c>
      <c r="Z202" s="82">
        <f t="shared" si="18"/>
        <v>4980</v>
      </c>
      <c r="AA202" s="79">
        <f t="shared" si="19"/>
        <v>23904</v>
      </c>
    </row>
    <row r="203" spans="1:27" s="83" customFormat="1" ht="15.75">
      <c r="A203" s="32">
        <v>200</v>
      </c>
      <c r="B203" s="72">
        <v>45941</v>
      </c>
      <c r="C203" s="72">
        <v>45941</v>
      </c>
      <c r="D203" s="68" t="s">
        <v>566</v>
      </c>
      <c r="E203" s="74" t="s">
        <v>567</v>
      </c>
      <c r="F203" s="74" t="s">
        <v>568</v>
      </c>
      <c r="G203" s="74" t="s">
        <v>528</v>
      </c>
      <c r="H203" s="52" t="s">
        <v>500</v>
      </c>
      <c r="I203" s="53" t="s">
        <v>501</v>
      </c>
      <c r="J203" s="42" t="s">
        <v>23</v>
      </c>
      <c r="K203" s="36" t="s">
        <v>38</v>
      </c>
      <c r="L203" s="76" t="s">
        <v>569</v>
      </c>
      <c r="M203" s="74" t="s">
        <v>502</v>
      </c>
      <c r="N203" s="88" t="s">
        <v>570</v>
      </c>
      <c r="O203" s="74" t="s">
        <v>571</v>
      </c>
      <c r="P203" s="77">
        <f t="shared" si="15"/>
        <v>40.040000000000006</v>
      </c>
      <c r="Q203" s="74">
        <v>425</v>
      </c>
      <c r="R203" s="78">
        <f t="shared" si="16"/>
        <v>17017.000000000004</v>
      </c>
      <c r="S203" s="74" t="s">
        <v>470</v>
      </c>
      <c r="T203" s="79"/>
      <c r="V203" s="83" t="s">
        <v>24</v>
      </c>
      <c r="W203" s="79">
        <v>145</v>
      </c>
      <c r="X203" s="80">
        <f t="shared" si="17"/>
        <v>5805.8000000000011</v>
      </c>
      <c r="Y203" s="82">
        <v>150</v>
      </c>
      <c r="Z203" s="82">
        <f t="shared" si="18"/>
        <v>6006.0000000000009</v>
      </c>
      <c r="AA203" s="79">
        <f t="shared" si="19"/>
        <v>28828.800000000003</v>
      </c>
    </row>
    <row r="204" spans="1:27" s="83" customFormat="1" ht="15.75">
      <c r="A204" s="32">
        <v>201</v>
      </c>
      <c r="B204" s="72">
        <v>45941</v>
      </c>
      <c r="C204" s="72">
        <v>45941</v>
      </c>
      <c r="D204" s="68" t="s">
        <v>572</v>
      </c>
      <c r="E204" s="74" t="s">
        <v>573</v>
      </c>
      <c r="F204" s="74" t="s">
        <v>574</v>
      </c>
      <c r="G204" s="74" t="s">
        <v>557</v>
      </c>
      <c r="H204" s="52" t="s">
        <v>500</v>
      </c>
      <c r="I204" s="53" t="s">
        <v>501</v>
      </c>
      <c r="J204" s="42" t="s">
        <v>23</v>
      </c>
      <c r="K204" s="36" t="s">
        <v>38</v>
      </c>
      <c r="L204" s="76" t="s">
        <v>107</v>
      </c>
      <c r="M204" s="74" t="s">
        <v>502</v>
      </c>
      <c r="N204" s="88" t="s">
        <v>575</v>
      </c>
      <c r="O204" s="74" t="s">
        <v>576</v>
      </c>
      <c r="P204" s="77">
        <f t="shared" si="15"/>
        <v>32.340000000000003</v>
      </c>
      <c r="Q204" s="74">
        <v>425</v>
      </c>
      <c r="R204" s="78">
        <f t="shared" si="16"/>
        <v>13744.500000000002</v>
      </c>
      <c r="S204" s="74" t="s">
        <v>470</v>
      </c>
      <c r="T204" s="79"/>
      <c r="V204" s="83" t="s">
        <v>24</v>
      </c>
      <c r="W204" s="79">
        <v>145</v>
      </c>
      <c r="X204" s="80">
        <f t="shared" si="17"/>
        <v>4689.3</v>
      </c>
      <c r="Y204" s="82">
        <v>150</v>
      </c>
      <c r="Z204" s="82">
        <f t="shared" si="18"/>
        <v>4851.0000000000009</v>
      </c>
      <c r="AA204" s="79">
        <f t="shared" si="19"/>
        <v>23284.800000000003</v>
      </c>
    </row>
    <row r="205" spans="1:27" s="83" customFormat="1" ht="15.75">
      <c r="A205" s="32">
        <v>202</v>
      </c>
      <c r="B205" s="72">
        <v>45941</v>
      </c>
      <c r="C205" s="72">
        <v>45941</v>
      </c>
      <c r="D205" s="68" t="s">
        <v>577</v>
      </c>
      <c r="E205" s="74" t="s">
        <v>470</v>
      </c>
      <c r="F205" s="74" t="s">
        <v>470</v>
      </c>
      <c r="G205" s="74" t="s">
        <v>470</v>
      </c>
      <c r="H205" s="52" t="s">
        <v>470</v>
      </c>
      <c r="I205" s="53" t="s">
        <v>435</v>
      </c>
      <c r="J205" s="42" t="s">
        <v>23</v>
      </c>
      <c r="K205" s="36" t="s">
        <v>30</v>
      </c>
      <c r="L205" s="76" t="s">
        <v>436</v>
      </c>
      <c r="M205" s="74" t="s">
        <v>31</v>
      </c>
      <c r="N205" s="88" t="s">
        <v>578</v>
      </c>
      <c r="O205" s="74" t="s">
        <v>579</v>
      </c>
      <c r="P205" s="77">
        <f t="shared" si="15"/>
        <v>5.0599999999999996</v>
      </c>
      <c r="Q205" s="74" t="s">
        <v>580</v>
      </c>
      <c r="R205" s="78">
        <f t="shared" si="16"/>
        <v>758.99999999999989</v>
      </c>
      <c r="S205" s="74" t="s">
        <v>581</v>
      </c>
      <c r="T205" s="79"/>
      <c r="V205" s="83" t="s">
        <v>24</v>
      </c>
      <c r="W205" s="79"/>
      <c r="X205" s="80">
        <f t="shared" si="17"/>
        <v>0</v>
      </c>
      <c r="Y205" s="82"/>
      <c r="Z205" s="82">
        <f t="shared" si="18"/>
        <v>0</v>
      </c>
      <c r="AA205" s="79">
        <f t="shared" si="19"/>
        <v>758.99999999999989</v>
      </c>
    </row>
    <row r="206" spans="1:27" s="83" customFormat="1" ht="15.75">
      <c r="A206" s="32">
        <v>203</v>
      </c>
      <c r="B206" s="72">
        <v>45941</v>
      </c>
      <c r="C206" s="72">
        <v>45941</v>
      </c>
      <c r="D206" s="68" t="s">
        <v>582</v>
      </c>
      <c r="E206" s="74" t="s">
        <v>583</v>
      </c>
      <c r="F206" s="74" t="s">
        <v>584</v>
      </c>
      <c r="G206" s="74" t="s">
        <v>474</v>
      </c>
      <c r="H206" s="52" t="s">
        <v>500</v>
      </c>
      <c r="I206" s="53" t="s">
        <v>501</v>
      </c>
      <c r="J206" s="42" t="s">
        <v>23</v>
      </c>
      <c r="K206" s="36" t="s">
        <v>38</v>
      </c>
      <c r="L206" s="76" t="s">
        <v>585</v>
      </c>
      <c r="M206" s="74" t="s">
        <v>502</v>
      </c>
      <c r="N206" s="88" t="s">
        <v>586</v>
      </c>
      <c r="O206" s="74" t="s">
        <v>587</v>
      </c>
      <c r="P206" s="77">
        <f t="shared" si="15"/>
        <v>31.94</v>
      </c>
      <c r="Q206" s="74">
        <v>425</v>
      </c>
      <c r="R206" s="78">
        <f t="shared" si="16"/>
        <v>13574.5</v>
      </c>
      <c r="S206" s="74" t="s">
        <v>470</v>
      </c>
      <c r="T206" s="79"/>
      <c r="V206" s="83" t="s">
        <v>24</v>
      </c>
      <c r="W206" s="79">
        <v>145</v>
      </c>
      <c r="X206" s="80">
        <f t="shared" si="17"/>
        <v>4631.3</v>
      </c>
      <c r="Y206" s="82">
        <v>150</v>
      </c>
      <c r="Z206" s="82">
        <f t="shared" si="18"/>
        <v>4791</v>
      </c>
      <c r="AA206" s="79">
        <f t="shared" si="19"/>
        <v>22996.799999999999</v>
      </c>
    </row>
    <row r="207" spans="1:27" s="83" customFormat="1" ht="15.75">
      <c r="A207" s="32">
        <v>204</v>
      </c>
      <c r="B207" s="72">
        <v>45941</v>
      </c>
      <c r="C207" s="72">
        <v>45941</v>
      </c>
      <c r="D207" s="68" t="s">
        <v>588</v>
      </c>
      <c r="E207" s="74" t="s">
        <v>589</v>
      </c>
      <c r="F207" s="74" t="s">
        <v>590</v>
      </c>
      <c r="G207" s="74" t="s">
        <v>591</v>
      </c>
      <c r="H207" s="52" t="s">
        <v>482</v>
      </c>
      <c r="I207" s="53" t="s">
        <v>155</v>
      </c>
      <c r="J207" s="42" t="s">
        <v>23</v>
      </c>
      <c r="K207" s="36" t="s">
        <v>38</v>
      </c>
      <c r="L207" s="76" t="s">
        <v>162</v>
      </c>
      <c r="M207" s="74" t="s">
        <v>40</v>
      </c>
      <c r="N207" s="88" t="s">
        <v>592</v>
      </c>
      <c r="O207" s="74" t="s">
        <v>593</v>
      </c>
      <c r="P207" s="77">
        <f t="shared" si="15"/>
        <v>21.760000000000005</v>
      </c>
      <c r="Q207" s="74" t="s">
        <v>594</v>
      </c>
      <c r="R207" s="78">
        <f t="shared" si="16"/>
        <v>9139.2000000000025</v>
      </c>
      <c r="S207" s="74" t="s">
        <v>470</v>
      </c>
      <c r="T207" s="79"/>
      <c r="V207" s="83" t="s">
        <v>24</v>
      </c>
      <c r="W207" s="79">
        <v>145</v>
      </c>
      <c r="X207" s="80">
        <f t="shared" si="17"/>
        <v>3155.2000000000007</v>
      </c>
      <c r="Y207" s="82"/>
      <c r="Z207" s="82">
        <f t="shared" si="18"/>
        <v>0</v>
      </c>
      <c r="AA207" s="79">
        <f t="shared" si="19"/>
        <v>12294.400000000003</v>
      </c>
    </row>
    <row r="208" spans="1:27" s="83" customFormat="1" ht="15.75">
      <c r="A208" s="32">
        <v>205</v>
      </c>
      <c r="B208" s="72">
        <v>45941</v>
      </c>
      <c r="C208" s="72">
        <v>45941</v>
      </c>
      <c r="D208" s="68" t="s">
        <v>595</v>
      </c>
      <c r="E208" s="74" t="s">
        <v>596</v>
      </c>
      <c r="F208" s="74" t="s">
        <v>597</v>
      </c>
      <c r="G208" s="74" t="s">
        <v>515</v>
      </c>
      <c r="H208" s="52" t="s">
        <v>466</v>
      </c>
      <c r="I208" s="53" t="s">
        <v>46</v>
      </c>
      <c r="J208" s="42" t="s">
        <v>23</v>
      </c>
      <c r="K208" s="36" t="s">
        <v>38</v>
      </c>
      <c r="L208" s="76" t="s">
        <v>134</v>
      </c>
      <c r="M208" s="74" t="s">
        <v>55</v>
      </c>
      <c r="N208" s="88" t="s">
        <v>598</v>
      </c>
      <c r="O208" s="74" t="s">
        <v>599</v>
      </c>
      <c r="P208" s="77">
        <f t="shared" si="15"/>
        <v>48.860000000000007</v>
      </c>
      <c r="Q208" s="74" t="s">
        <v>524</v>
      </c>
      <c r="R208" s="78">
        <f t="shared" si="16"/>
        <v>21742.700000000004</v>
      </c>
      <c r="S208" s="74" t="s">
        <v>470</v>
      </c>
      <c r="T208" s="79"/>
      <c r="V208" s="83" t="s">
        <v>24</v>
      </c>
      <c r="W208" s="79">
        <v>145</v>
      </c>
      <c r="X208" s="80">
        <f t="shared" si="17"/>
        <v>7084.7000000000007</v>
      </c>
      <c r="Y208" s="82">
        <v>260</v>
      </c>
      <c r="Z208" s="82">
        <f t="shared" si="18"/>
        <v>12703.600000000002</v>
      </c>
      <c r="AA208" s="79">
        <f t="shared" si="19"/>
        <v>41531.000000000007</v>
      </c>
    </row>
    <row r="209" spans="1:27" s="83" customFormat="1" ht="15.75">
      <c r="A209" s="32">
        <v>206</v>
      </c>
      <c r="B209" s="72">
        <v>45941</v>
      </c>
      <c r="C209" s="72">
        <v>45941</v>
      </c>
      <c r="D209" s="68" t="s">
        <v>600</v>
      </c>
      <c r="E209" s="74" t="s">
        <v>601</v>
      </c>
      <c r="F209" s="74" t="s">
        <v>602</v>
      </c>
      <c r="G209" s="74" t="s">
        <v>591</v>
      </c>
      <c r="H209" s="52" t="s">
        <v>482</v>
      </c>
      <c r="I209" s="53" t="s">
        <v>155</v>
      </c>
      <c r="J209" s="42" t="s">
        <v>23</v>
      </c>
      <c r="K209" s="36" t="s">
        <v>38</v>
      </c>
      <c r="L209" s="76" t="s">
        <v>156</v>
      </c>
      <c r="M209" s="74" t="s">
        <v>48</v>
      </c>
      <c r="N209" s="88" t="s">
        <v>603</v>
      </c>
      <c r="O209" s="74" t="s">
        <v>604</v>
      </c>
      <c r="P209" s="77">
        <f t="shared" si="15"/>
        <v>22.28</v>
      </c>
      <c r="Q209" s="74" t="s">
        <v>605</v>
      </c>
      <c r="R209" s="78">
        <f t="shared" si="16"/>
        <v>13813.6</v>
      </c>
      <c r="S209" s="74" t="s">
        <v>470</v>
      </c>
      <c r="T209" s="79"/>
      <c r="V209" s="83" t="s">
        <v>24</v>
      </c>
      <c r="W209" s="79">
        <v>145</v>
      </c>
      <c r="X209" s="80">
        <f t="shared" si="17"/>
        <v>3230.6000000000004</v>
      </c>
      <c r="Y209" s="82"/>
      <c r="Z209" s="82">
        <f t="shared" si="18"/>
        <v>0</v>
      </c>
      <c r="AA209" s="79">
        <f t="shared" si="19"/>
        <v>17044.2</v>
      </c>
    </row>
    <row r="210" spans="1:27" s="83" customFormat="1" ht="15.75">
      <c r="A210" s="32">
        <v>207</v>
      </c>
      <c r="B210" s="72">
        <v>45941</v>
      </c>
      <c r="C210" s="72">
        <v>45941</v>
      </c>
      <c r="D210" s="68" t="s">
        <v>606</v>
      </c>
      <c r="E210" s="74" t="s">
        <v>470</v>
      </c>
      <c r="F210" s="74" t="s">
        <v>470</v>
      </c>
      <c r="G210" s="74" t="s">
        <v>470</v>
      </c>
      <c r="H210" s="52" t="s">
        <v>470</v>
      </c>
      <c r="I210" s="53" t="s">
        <v>607</v>
      </c>
      <c r="J210" s="42" t="s">
        <v>23</v>
      </c>
      <c r="K210" s="36" t="s">
        <v>30</v>
      </c>
      <c r="L210" s="76" t="s">
        <v>608</v>
      </c>
      <c r="M210" s="74" t="s">
        <v>31</v>
      </c>
      <c r="N210" s="88" t="s">
        <v>609</v>
      </c>
      <c r="O210" s="74" t="s">
        <v>610</v>
      </c>
      <c r="P210" s="77">
        <f t="shared" si="15"/>
        <v>4.9800000000000004</v>
      </c>
      <c r="Q210" s="74" t="s">
        <v>580</v>
      </c>
      <c r="R210" s="78">
        <f t="shared" si="16"/>
        <v>747.00000000000011</v>
      </c>
      <c r="S210" s="74" t="s">
        <v>611</v>
      </c>
      <c r="T210" s="79"/>
      <c r="V210" s="83" t="s">
        <v>24</v>
      </c>
      <c r="W210" s="79"/>
      <c r="X210" s="80">
        <f t="shared" si="17"/>
        <v>0</v>
      </c>
      <c r="Y210" s="82"/>
      <c r="Z210" s="82">
        <f t="shared" si="18"/>
        <v>0</v>
      </c>
      <c r="AA210" s="79">
        <f t="shared" si="19"/>
        <v>747.00000000000011</v>
      </c>
    </row>
    <row r="211" spans="1:27" s="83" customFormat="1" ht="15.75">
      <c r="A211" s="32">
        <v>208</v>
      </c>
      <c r="B211" s="72">
        <v>45941</v>
      </c>
      <c r="C211" s="72">
        <v>45941</v>
      </c>
      <c r="D211" s="68" t="s">
        <v>612</v>
      </c>
      <c r="E211" s="74" t="s">
        <v>470</v>
      </c>
      <c r="F211" s="74" t="s">
        <v>470</v>
      </c>
      <c r="G211" s="74" t="s">
        <v>470</v>
      </c>
      <c r="H211" s="52" t="s">
        <v>470</v>
      </c>
      <c r="I211" s="53" t="s">
        <v>607</v>
      </c>
      <c r="J211" s="42" t="s">
        <v>23</v>
      </c>
      <c r="K211" s="36" t="s">
        <v>30</v>
      </c>
      <c r="L211" s="76" t="s">
        <v>608</v>
      </c>
      <c r="M211" s="74" t="s">
        <v>31</v>
      </c>
      <c r="N211" s="88" t="s">
        <v>613</v>
      </c>
      <c r="O211" s="74" t="s">
        <v>610</v>
      </c>
      <c r="P211" s="77">
        <f t="shared" si="15"/>
        <v>4.62</v>
      </c>
      <c r="Q211" s="74" t="s">
        <v>580</v>
      </c>
      <c r="R211" s="78">
        <f t="shared" si="16"/>
        <v>693</v>
      </c>
      <c r="S211" s="74" t="s">
        <v>614</v>
      </c>
      <c r="T211" s="79"/>
      <c r="V211" s="83" t="s">
        <v>24</v>
      </c>
      <c r="W211" s="79"/>
      <c r="X211" s="80">
        <f t="shared" si="17"/>
        <v>0</v>
      </c>
      <c r="Y211" s="82"/>
      <c r="Z211" s="82">
        <f t="shared" si="18"/>
        <v>0</v>
      </c>
      <c r="AA211" s="79">
        <f t="shared" si="19"/>
        <v>693</v>
      </c>
    </row>
    <row r="212" spans="1:27" s="83" customFormat="1" ht="15.75">
      <c r="A212" s="32">
        <v>209</v>
      </c>
      <c r="B212" s="72">
        <v>45941</v>
      </c>
      <c r="C212" s="72">
        <v>45941</v>
      </c>
      <c r="D212" s="68" t="s">
        <v>615</v>
      </c>
      <c r="E212" s="74" t="s">
        <v>616</v>
      </c>
      <c r="F212" s="74" t="s">
        <v>617</v>
      </c>
      <c r="G212" s="74" t="s">
        <v>546</v>
      </c>
      <c r="H212" s="52" t="s">
        <v>466</v>
      </c>
      <c r="I212" s="53" t="s">
        <v>46</v>
      </c>
      <c r="J212" s="42" t="s">
        <v>23</v>
      </c>
      <c r="K212" s="36" t="s">
        <v>38</v>
      </c>
      <c r="L212" s="76" t="s">
        <v>79</v>
      </c>
      <c r="M212" s="74" t="s">
        <v>48</v>
      </c>
      <c r="N212" s="88" t="s">
        <v>618</v>
      </c>
      <c r="O212" s="74" t="s">
        <v>619</v>
      </c>
      <c r="P212" s="77">
        <f t="shared" si="15"/>
        <v>43.34</v>
      </c>
      <c r="Q212" s="74" t="s">
        <v>483</v>
      </c>
      <c r="R212" s="78">
        <f t="shared" si="16"/>
        <v>23620.300000000003</v>
      </c>
      <c r="S212" s="74" t="s">
        <v>470</v>
      </c>
      <c r="T212" s="79"/>
      <c r="V212" s="83" t="s">
        <v>24</v>
      </c>
      <c r="W212" s="79">
        <v>145</v>
      </c>
      <c r="X212" s="80">
        <f t="shared" si="17"/>
        <v>6284.3</v>
      </c>
      <c r="Y212" s="82">
        <v>260</v>
      </c>
      <c r="Z212" s="82">
        <f t="shared" si="18"/>
        <v>11268.400000000001</v>
      </c>
      <c r="AA212" s="79">
        <f t="shared" si="19"/>
        <v>41173</v>
      </c>
    </row>
    <row r="213" spans="1:27" s="83" customFormat="1" ht="15.75">
      <c r="A213" s="32">
        <v>210</v>
      </c>
      <c r="B213" s="72">
        <v>45941</v>
      </c>
      <c r="C213" s="72">
        <v>45941</v>
      </c>
      <c r="D213" s="68" t="s">
        <v>620</v>
      </c>
      <c r="E213" s="74" t="s">
        <v>621</v>
      </c>
      <c r="F213" s="74" t="s">
        <v>622</v>
      </c>
      <c r="G213" s="74" t="s">
        <v>487</v>
      </c>
      <c r="H213" s="52" t="s">
        <v>466</v>
      </c>
      <c r="I213" s="53" t="s">
        <v>46</v>
      </c>
      <c r="J213" s="42" t="s">
        <v>23</v>
      </c>
      <c r="K213" s="36" t="s">
        <v>38</v>
      </c>
      <c r="L213" s="76" t="s">
        <v>623</v>
      </c>
      <c r="M213" s="74" t="s">
        <v>40</v>
      </c>
      <c r="N213" s="88" t="s">
        <v>624</v>
      </c>
      <c r="O213" s="74" t="s">
        <v>625</v>
      </c>
      <c r="P213" s="77">
        <f t="shared" si="15"/>
        <v>44.64</v>
      </c>
      <c r="Q213" s="74" t="s">
        <v>469</v>
      </c>
      <c r="R213" s="78">
        <f t="shared" si="16"/>
        <v>14061.6</v>
      </c>
      <c r="S213" s="74" t="s">
        <v>470</v>
      </c>
      <c r="T213" s="79"/>
      <c r="V213" s="83" t="s">
        <v>24</v>
      </c>
      <c r="W213" s="79">
        <v>145</v>
      </c>
      <c r="X213" s="80">
        <f t="shared" si="17"/>
        <v>6472.8</v>
      </c>
      <c r="Y213" s="82">
        <v>260</v>
      </c>
      <c r="Z213" s="82">
        <f t="shared" si="18"/>
        <v>11606.4</v>
      </c>
      <c r="AA213" s="79">
        <f t="shared" si="19"/>
        <v>32140.800000000003</v>
      </c>
    </row>
    <row r="214" spans="1:27" s="83" customFormat="1" ht="15.75">
      <c r="A214" s="32">
        <v>211</v>
      </c>
      <c r="B214" s="72">
        <v>45941</v>
      </c>
      <c r="C214" s="72">
        <v>45941</v>
      </c>
      <c r="D214" s="68" t="s">
        <v>626</v>
      </c>
      <c r="E214" s="74" t="s">
        <v>627</v>
      </c>
      <c r="F214" s="74" t="s">
        <v>628</v>
      </c>
      <c r="G214" s="74" t="s">
        <v>508</v>
      </c>
      <c r="H214" s="52" t="s">
        <v>466</v>
      </c>
      <c r="I214" s="53" t="s">
        <v>46</v>
      </c>
      <c r="J214" s="42" t="s">
        <v>23</v>
      </c>
      <c r="K214" s="36" t="s">
        <v>38</v>
      </c>
      <c r="L214" s="76" t="s">
        <v>101</v>
      </c>
      <c r="M214" s="74" t="s">
        <v>55</v>
      </c>
      <c r="N214" s="88" t="s">
        <v>629</v>
      </c>
      <c r="O214" s="74" t="s">
        <v>630</v>
      </c>
      <c r="P214" s="77">
        <f t="shared" si="15"/>
        <v>37.380000000000003</v>
      </c>
      <c r="Q214" s="74" t="s">
        <v>524</v>
      </c>
      <c r="R214" s="78">
        <f t="shared" si="16"/>
        <v>16634.100000000002</v>
      </c>
      <c r="S214" s="74" t="s">
        <v>470</v>
      </c>
      <c r="T214" s="79"/>
      <c r="V214" s="83" t="s">
        <v>24</v>
      </c>
      <c r="W214" s="79">
        <v>145</v>
      </c>
      <c r="X214" s="80">
        <f t="shared" si="17"/>
        <v>5420.1</v>
      </c>
      <c r="Y214" s="82">
        <v>260</v>
      </c>
      <c r="Z214" s="82">
        <f t="shared" si="18"/>
        <v>9718.8000000000011</v>
      </c>
      <c r="AA214" s="79">
        <f t="shared" si="19"/>
        <v>31773.000000000007</v>
      </c>
    </row>
    <row r="215" spans="1:27" s="83" customFormat="1" ht="15.75">
      <c r="A215" s="32">
        <v>212</v>
      </c>
      <c r="B215" s="72">
        <v>45941</v>
      </c>
      <c r="C215" s="72">
        <v>45941</v>
      </c>
      <c r="D215" s="68" t="s">
        <v>631</v>
      </c>
      <c r="E215" s="74" t="s">
        <v>632</v>
      </c>
      <c r="F215" s="74" t="s">
        <v>633</v>
      </c>
      <c r="G215" s="74" t="s">
        <v>586</v>
      </c>
      <c r="H215" s="52" t="s">
        <v>466</v>
      </c>
      <c r="I215" s="53" t="s">
        <v>46</v>
      </c>
      <c r="J215" s="42" t="s">
        <v>23</v>
      </c>
      <c r="K215" s="36" t="s">
        <v>38</v>
      </c>
      <c r="L215" s="76" t="s">
        <v>198</v>
      </c>
      <c r="M215" s="74" t="s">
        <v>48</v>
      </c>
      <c r="N215" s="88" t="s">
        <v>634</v>
      </c>
      <c r="O215" s="74" t="s">
        <v>635</v>
      </c>
      <c r="P215" s="77">
        <f t="shared" si="15"/>
        <v>44.239999999999995</v>
      </c>
      <c r="Q215" s="74" t="s">
        <v>483</v>
      </c>
      <c r="R215" s="78">
        <f t="shared" si="16"/>
        <v>24110.799999999996</v>
      </c>
      <c r="S215" s="74" t="s">
        <v>470</v>
      </c>
      <c r="T215" s="79"/>
      <c r="V215" s="83" t="s">
        <v>24</v>
      </c>
      <c r="W215" s="79">
        <v>145</v>
      </c>
      <c r="X215" s="80">
        <f t="shared" si="17"/>
        <v>6414.7999999999993</v>
      </c>
      <c r="Y215" s="82">
        <v>260</v>
      </c>
      <c r="Z215" s="82">
        <f t="shared" si="18"/>
        <v>11502.399999999998</v>
      </c>
      <c r="AA215" s="79">
        <f t="shared" si="19"/>
        <v>42027.999999999993</v>
      </c>
    </row>
    <row r="216" spans="1:27" s="83" customFormat="1" ht="15.75">
      <c r="A216" s="32">
        <v>213</v>
      </c>
      <c r="B216" s="72">
        <v>45941</v>
      </c>
      <c r="C216" s="72">
        <v>45941</v>
      </c>
      <c r="D216" s="68" t="s">
        <v>636</v>
      </c>
      <c r="E216" s="74" t="s">
        <v>637</v>
      </c>
      <c r="F216" s="74" t="s">
        <v>638</v>
      </c>
      <c r="G216" s="74" t="s">
        <v>487</v>
      </c>
      <c r="H216" s="52" t="s">
        <v>466</v>
      </c>
      <c r="I216" s="53" t="s">
        <v>46</v>
      </c>
      <c r="J216" s="42" t="s">
        <v>23</v>
      </c>
      <c r="K216" s="36" t="s">
        <v>38</v>
      </c>
      <c r="L216" s="76" t="s">
        <v>639</v>
      </c>
      <c r="M216" s="74" t="s">
        <v>48</v>
      </c>
      <c r="N216" s="88" t="s">
        <v>640</v>
      </c>
      <c r="O216" s="74" t="s">
        <v>641</v>
      </c>
      <c r="P216" s="77">
        <f t="shared" si="15"/>
        <v>44.519999999999996</v>
      </c>
      <c r="Q216" s="74" t="s">
        <v>483</v>
      </c>
      <c r="R216" s="78">
        <f t="shared" si="16"/>
        <v>24263.399999999998</v>
      </c>
      <c r="S216" s="74" t="s">
        <v>470</v>
      </c>
      <c r="T216" s="79"/>
      <c r="V216" s="83" t="s">
        <v>24</v>
      </c>
      <c r="W216" s="79">
        <v>145</v>
      </c>
      <c r="X216" s="80">
        <f t="shared" si="17"/>
        <v>6455.4</v>
      </c>
      <c r="Y216" s="82">
        <v>260</v>
      </c>
      <c r="Z216" s="82">
        <f t="shared" si="18"/>
        <v>11575.199999999999</v>
      </c>
      <c r="AA216" s="79">
        <f t="shared" si="19"/>
        <v>42293.999999999993</v>
      </c>
    </row>
    <row r="217" spans="1:27" s="83" customFormat="1" ht="15.75">
      <c r="A217" s="32">
        <v>214</v>
      </c>
      <c r="B217" s="72">
        <v>45941</v>
      </c>
      <c r="C217" s="72">
        <v>45941</v>
      </c>
      <c r="D217" s="68" t="s">
        <v>642</v>
      </c>
      <c r="E217" s="74" t="s">
        <v>643</v>
      </c>
      <c r="F217" s="74" t="s">
        <v>644</v>
      </c>
      <c r="G217" s="74" t="s">
        <v>499</v>
      </c>
      <c r="H217" s="52" t="s">
        <v>466</v>
      </c>
      <c r="I217" s="53" t="s">
        <v>46</v>
      </c>
      <c r="J217" s="42" t="s">
        <v>23</v>
      </c>
      <c r="K217" s="36" t="s">
        <v>38</v>
      </c>
      <c r="L217" s="76" t="s">
        <v>89</v>
      </c>
      <c r="M217" s="74" t="s">
        <v>55</v>
      </c>
      <c r="N217" s="88" t="s">
        <v>645</v>
      </c>
      <c r="O217" s="74" t="s">
        <v>646</v>
      </c>
      <c r="P217" s="77">
        <f t="shared" si="15"/>
        <v>40.659999999999997</v>
      </c>
      <c r="Q217" s="74" t="s">
        <v>524</v>
      </c>
      <c r="R217" s="78">
        <f t="shared" si="16"/>
        <v>18093.699999999997</v>
      </c>
      <c r="S217" s="74" t="s">
        <v>470</v>
      </c>
      <c r="T217" s="79"/>
      <c r="V217" s="83" t="s">
        <v>24</v>
      </c>
      <c r="W217" s="79">
        <v>145</v>
      </c>
      <c r="X217" s="80">
        <f t="shared" si="17"/>
        <v>5895.7</v>
      </c>
      <c r="Y217" s="82">
        <v>260</v>
      </c>
      <c r="Z217" s="82">
        <f t="shared" si="18"/>
        <v>10571.599999999999</v>
      </c>
      <c r="AA217" s="79">
        <f t="shared" si="19"/>
        <v>34561</v>
      </c>
    </row>
    <row r="218" spans="1:27" s="83" customFormat="1" ht="15.75">
      <c r="A218" s="32">
        <v>215</v>
      </c>
      <c r="B218" s="72">
        <v>45941</v>
      </c>
      <c r="C218" s="72">
        <v>45941</v>
      </c>
      <c r="D218" s="68" t="s">
        <v>647</v>
      </c>
      <c r="E218" s="74" t="s">
        <v>648</v>
      </c>
      <c r="F218" s="74" t="s">
        <v>649</v>
      </c>
      <c r="G218" s="74" t="s">
        <v>528</v>
      </c>
      <c r="H218" s="52" t="s">
        <v>466</v>
      </c>
      <c r="I218" s="53" t="s">
        <v>46</v>
      </c>
      <c r="J218" s="42" t="s">
        <v>23</v>
      </c>
      <c r="K218" s="36" t="s">
        <v>38</v>
      </c>
      <c r="L218" s="76" t="s">
        <v>149</v>
      </c>
      <c r="M218" s="74" t="s">
        <v>55</v>
      </c>
      <c r="N218" s="88" t="s">
        <v>650</v>
      </c>
      <c r="O218" s="74" t="s">
        <v>651</v>
      </c>
      <c r="P218" s="77">
        <f t="shared" si="15"/>
        <v>39.880000000000003</v>
      </c>
      <c r="Q218" s="74" t="s">
        <v>524</v>
      </c>
      <c r="R218" s="78">
        <f t="shared" si="16"/>
        <v>17746.600000000002</v>
      </c>
      <c r="S218" s="74" t="s">
        <v>470</v>
      </c>
      <c r="T218" s="79"/>
      <c r="V218" s="83" t="s">
        <v>24</v>
      </c>
      <c r="W218" s="79">
        <v>145</v>
      </c>
      <c r="X218" s="80">
        <f t="shared" si="17"/>
        <v>5782.6</v>
      </c>
      <c r="Y218" s="82">
        <v>260</v>
      </c>
      <c r="Z218" s="82">
        <f t="shared" si="18"/>
        <v>10368.800000000001</v>
      </c>
      <c r="AA218" s="79">
        <f t="shared" si="19"/>
        <v>33898.000000000007</v>
      </c>
    </row>
    <row r="219" spans="1:27" s="83" customFormat="1" ht="15.75">
      <c r="A219" s="32">
        <v>216</v>
      </c>
      <c r="B219" s="72">
        <v>45941</v>
      </c>
      <c r="C219" s="72">
        <v>45941</v>
      </c>
      <c r="D219" s="68" t="s">
        <v>652</v>
      </c>
      <c r="E219" s="74" t="s">
        <v>653</v>
      </c>
      <c r="F219" s="74" t="s">
        <v>654</v>
      </c>
      <c r="G219" s="74" t="s">
        <v>655</v>
      </c>
      <c r="H219" s="52" t="s">
        <v>466</v>
      </c>
      <c r="I219" s="53" t="s">
        <v>46</v>
      </c>
      <c r="J219" s="42" t="s">
        <v>23</v>
      </c>
      <c r="K219" s="36" t="s">
        <v>38</v>
      </c>
      <c r="L219" s="76" t="s">
        <v>67</v>
      </c>
      <c r="M219" s="74" t="s">
        <v>55</v>
      </c>
      <c r="N219" s="88" t="s">
        <v>656</v>
      </c>
      <c r="O219" s="74" t="s">
        <v>657</v>
      </c>
      <c r="P219" s="77">
        <f t="shared" si="15"/>
        <v>49.46</v>
      </c>
      <c r="Q219" s="74" t="s">
        <v>524</v>
      </c>
      <c r="R219" s="78">
        <f t="shared" si="16"/>
        <v>22009.7</v>
      </c>
      <c r="S219" s="74" t="s">
        <v>470</v>
      </c>
      <c r="T219" s="79"/>
      <c r="V219" s="83" t="s">
        <v>24</v>
      </c>
      <c r="W219" s="79">
        <v>145</v>
      </c>
      <c r="X219" s="80">
        <f t="shared" si="17"/>
        <v>7171.7</v>
      </c>
      <c r="Y219" s="82">
        <v>260</v>
      </c>
      <c r="Z219" s="82">
        <f t="shared" si="18"/>
        <v>12859.6</v>
      </c>
      <c r="AA219" s="79">
        <f t="shared" si="19"/>
        <v>42041</v>
      </c>
    </row>
    <row r="220" spans="1:27" s="83" customFormat="1" ht="15.75">
      <c r="A220" s="32">
        <v>217</v>
      </c>
      <c r="B220" s="72">
        <v>45941</v>
      </c>
      <c r="C220" s="72">
        <v>45941</v>
      </c>
      <c r="D220" s="68" t="s">
        <v>658</v>
      </c>
      <c r="E220" s="74" t="s">
        <v>659</v>
      </c>
      <c r="F220" s="74" t="s">
        <v>660</v>
      </c>
      <c r="G220" s="74" t="s">
        <v>487</v>
      </c>
      <c r="H220" s="52" t="s">
        <v>466</v>
      </c>
      <c r="I220" s="53" t="s">
        <v>46</v>
      </c>
      <c r="J220" s="42" t="s">
        <v>23</v>
      </c>
      <c r="K220" s="36" t="s">
        <v>38</v>
      </c>
      <c r="L220" s="76" t="s">
        <v>116</v>
      </c>
      <c r="M220" s="74" t="s">
        <v>40</v>
      </c>
      <c r="N220" s="88" t="s">
        <v>547</v>
      </c>
      <c r="O220" s="74" t="s">
        <v>661</v>
      </c>
      <c r="P220" s="77">
        <f t="shared" si="15"/>
        <v>44.02</v>
      </c>
      <c r="Q220" s="74" t="s">
        <v>469</v>
      </c>
      <c r="R220" s="78">
        <f t="shared" si="16"/>
        <v>13866.300000000001</v>
      </c>
      <c r="S220" s="74" t="s">
        <v>470</v>
      </c>
      <c r="T220" s="79"/>
      <c r="V220" s="83" t="s">
        <v>24</v>
      </c>
      <c r="W220" s="79">
        <v>145</v>
      </c>
      <c r="X220" s="80">
        <f t="shared" si="17"/>
        <v>6382.9000000000005</v>
      </c>
      <c r="Y220" s="82">
        <v>260</v>
      </c>
      <c r="Z220" s="82">
        <f t="shared" si="18"/>
        <v>11445.2</v>
      </c>
      <c r="AA220" s="79">
        <f t="shared" si="19"/>
        <v>31694.400000000001</v>
      </c>
    </row>
    <row r="221" spans="1:27" s="83" customFormat="1" ht="15.75">
      <c r="A221" s="32">
        <v>218</v>
      </c>
      <c r="B221" s="72">
        <v>45941</v>
      </c>
      <c r="C221" s="72">
        <v>45941</v>
      </c>
      <c r="D221" s="68" t="s">
        <v>662</v>
      </c>
      <c r="E221" s="74" t="s">
        <v>663</v>
      </c>
      <c r="F221" s="74" t="s">
        <v>664</v>
      </c>
      <c r="G221" s="74" t="s">
        <v>480</v>
      </c>
      <c r="H221" s="52" t="s">
        <v>466</v>
      </c>
      <c r="I221" s="53" t="s">
        <v>46</v>
      </c>
      <c r="J221" s="42" t="s">
        <v>23</v>
      </c>
      <c r="K221" s="36" t="s">
        <v>38</v>
      </c>
      <c r="L221" s="76" t="s">
        <v>119</v>
      </c>
      <c r="M221" s="74" t="s">
        <v>48</v>
      </c>
      <c r="N221" s="88" t="s">
        <v>665</v>
      </c>
      <c r="O221" s="74" t="s">
        <v>518</v>
      </c>
      <c r="P221" s="77">
        <f t="shared" si="15"/>
        <v>46.64</v>
      </c>
      <c r="Q221" s="74" t="s">
        <v>483</v>
      </c>
      <c r="R221" s="78">
        <f t="shared" si="16"/>
        <v>25418.799999999999</v>
      </c>
      <c r="S221" s="74" t="s">
        <v>470</v>
      </c>
      <c r="T221" s="79"/>
      <c r="V221" s="83" t="s">
        <v>24</v>
      </c>
      <c r="W221" s="79">
        <v>145</v>
      </c>
      <c r="X221" s="80">
        <f t="shared" si="17"/>
        <v>6762.8</v>
      </c>
      <c r="Y221" s="82">
        <v>260</v>
      </c>
      <c r="Z221" s="82">
        <f t="shared" si="18"/>
        <v>12126.4</v>
      </c>
      <c r="AA221" s="79">
        <f t="shared" si="19"/>
        <v>44308</v>
      </c>
    </row>
    <row r="222" spans="1:27" s="83" customFormat="1" ht="15.75">
      <c r="A222" s="32">
        <v>219</v>
      </c>
      <c r="B222" s="72">
        <v>45941</v>
      </c>
      <c r="C222" s="72">
        <v>45941</v>
      </c>
      <c r="D222" s="68" t="s">
        <v>666</v>
      </c>
      <c r="E222" s="74" t="s">
        <v>667</v>
      </c>
      <c r="F222" s="74" t="s">
        <v>668</v>
      </c>
      <c r="G222" s="74" t="s">
        <v>546</v>
      </c>
      <c r="H222" s="52" t="s">
        <v>466</v>
      </c>
      <c r="I222" s="53" t="s">
        <v>46</v>
      </c>
      <c r="J222" s="42" t="s">
        <v>23</v>
      </c>
      <c r="K222" s="36" t="s">
        <v>38</v>
      </c>
      <c r="L222" s="76" t="s">
        <v>47</v>
      </c>
      <c r="M222" s="74" t="s">
        <v>48</v>
      </c>
      <c r="N222" s="88" t="s">
        <v>669</v>
      </c>
      <c r="O222" s="74" t="s">
        <v>670</v>
      </c>
      <c r="P222" s="77">
        <f t="shared" si="15"/>
        <v>43.82</v>
      </c>
      <c r="Q222" s="74" t="s">
        <v>483</v>
      </c>
      <c r="R222" s="78">
        <f t="shared" si="16"/>
        <v>23881.9</v>
      </c>
      <c r="S222" s="74" t="s">
        <v>470</v>
      </c>
      <c r="T222" s="79"/>
      <c r="V222" s="83" t="s">
        <v>24</v>
      </c>
      <c r="W222" s="79">
        <v>145</v>
      </c>
      <c r="X222" s="80">
        <f t="shared" si="17"/>
        <v>6353.9</v>
      </c>
      <c r="Y222" s="82">
        <v>260</v>
      </c>
      <c r="Z222" s="82">
        <f t="shared" si="18"/>
        <v>11393.2</v>
      </c>
      <c r="AA222" s="79">
        <f t="shared" si="19"/>
        <v>41629</v>
      </c>
    </row>
    <row r="223" spans="1:27" s="83" customFormat="1" ht="15.75">
      <c r="A223" s="32">
        <v>220</v>
      </c>
      <c r="B223" s="72">
        <v>45941</v>
      </c>
      <c r="C223" s="72">
        <v>45941</v>
      </c>
      <c r="D223" s="68" t="s">
        <v>671</v>
      </c>
      <c r="E223" s="74" t="s">
        <v>672</v>
      </c>
      <c r="F223" s="74" t="s">
        <v>673</v>
      </c>
      <c r="G223" s="74" t="s">
        <v>534</v>
      </c>
      <c r="H223" s="52" t="s">
        <v>466</v>
      </c>
      <c r="I223" s="53" t="s">
        <v>46</v>
      </c>
      <c r="J223" s="42" t="s">
        <v>23</v>
      </c>
      <c r="K223" s="36" t="s">
        <v>38</v>
      </c>
      <c r="L223" s="76" t="s">
        <v>64</v>
      </c>
      <c r="M223" s="74" t="s">
        <v>40</v>
      </c>
      <c r="N223" s="88" t="s">
        <v>674</v>
      </c>
      <c r="O223" s="74" t="s">
        <v>675</v>
      </c>
      <c r="P223" s="77">
        <f t="shared" si="15"/>
        <v>47.319999999999993</v>
      </c>
      <c r="Q223" s="74" t="s">
        <v>469</v>
      </c>
      <c r="R223" s="78">
        <f t="shared" si="16"/>
        <v>14905.799999999997</v>
      </c>
      <c r="S223" s="74" t="s">
        <v>470</v>
      </c>
      <c r="T223" s="79"/>
      <c r="V223" s="83" t="s">
        <v>24</v>
      </c>
      <c r="W223" s="79">
        <v>145</v>
      </c>
      <c r="X223" s="80">
        <f t="shared" si="17"/>
        <v>6861.3999999999987</v>
      </c>
      <c r="Y223" s="82">
        <v>260</v>
      </c>
      <c r="Z223" s="82">
        <f t="shared" si="18"/>
        <v>12303.199999999999</v>
      </c>
      <c r="AA223" s="79">
        <f t="shared" si="19"/>
        <v>34070.399999999994</v>
      </c>
    </row>
    <row r="224" spans="1:27" s="83" customFormat="1" ht="15.75">
      <c r="A224" s="32">
        <v>221</v>
      </c>
      <c r="B224" s="72">
        <v>45941</v>
      </c>
      <c r="C224" s="72">
        <v>45941</v>
      </c>
      <c r="D224" s="68" t="s">
        <v>676</v>
      </c>
      <c r="E224" s="74" t="s">
        <v>677</v>
      </c>
      <c r="F224" s="74" t="s">
        <v>678</v>
      </c>
      <c r="G224" s="74" t="s">
        <v>465</v>
      </c>
      <c r="H224" s="52" t="s">
        <v>466</v>
      </c>
      <c r="I224" s="53" t="s">
        <v>46</v>
      </c>
      <c r="J224" s="42" t="s">
        <v>23</v>
      </c>
      <c r="K224" s="36" t="s">
        <v>38</v>
      </c>
      <c r="L224" s="76" t="s">
        <v>82</v>
      </c>
      <c r="M224" s="74" t="s">
        <v>48</v>
      </c>
      <c r="N224" s="88" t="s">
        <v>618</v>
      </c>
      <c r="O224" s="74" t="s">
        <v>679</v>
      </c>
      <c r="P224" s="77">
        <f t="shared" si="15"/>
        <v>44.2</v>
      </c>
      <c r="Q224" s="74" t="s">
        <v>483</v>
      </c>
      <c r="R224" s="78">
        <f t="shared" si="16"/>
        <v>24089</v>
      </c>
      <c r="S224" s="74" t="s">
        <v>470</v>
      </c>
      <c r="T224" s="79"/>
      <c r="V224" s="83" t="s">
        <v>24</v>
      </c>
      <c r="W224" s="79">
        <v>145</v>
      </c>
      <c r="X224" s="80">
        <f t="shared" si="17"/>
        <v>6409</v>
      </c>
      <c r="Y224" s="82">
        <v>260</v>
      </c>
      <c r="Z224" s="82">
        <f t="shared" si="18"/>
        <v>11492</v>
      </c>
      <c r="AA224" s="79">
        <f t="shared" si="19"/>
        <v>41990</v>
      </c>
    </row>
    <row r="225" spans="1:28" s="83" customFormat="1" ht="15.75">
      <c r="A225" s="32">
        <v>222</v>
      </c>
      <c r="B225" s="72">
        <v>45941</v>
      </c>
      <c r="C225" s="72">
        <v>45941</v>
      </c>
      <c r="D225" s="68" t="s">
        <v>680</v>
      </c>
      <c r="E225" s="74" t="s">
        <v>681</v>
      </c>
      <c r="F225" s="74" t="s">
        <v>682</v>
      </c>
      <c r="G225" s="74" t="s">
        <v>540</v>
      </c>
      <c r="H225" s="52" t="s">
        <v>466</v>
      </c>
      <c r="I225" s="53" t="s">
        <v>46</v>
      </c>
      <c r="J225" s="42" t="s">
        <v>23</v>
      </c>
      <c r="K225" s="36" t="s">
        <v>38</v>
      </c>
      <c r="L225" s="76" t="s">
        <v>70</v>
      </c>
      <c r="M225" s="74" t="s">
        <v>55</v>
      </c>
      <c r="N225" s="88" t="s">
        <v>683</v>
      </c>
      <c r="O225" s="74" t="s">
        <v>684</v>
      </c>
      <c r="P225" s="77">
        <f t="shared" si="15"/>
        <v>41.88</v>
      </c>
      <c r="Q225" s="74" t="s">
        <v>524</v>
      </c>
      <c r="R225" s="78">
        <f t="shared" si="16"/>
        <v>18636.600000000002</v>
      </c>
      <c r="S225" s="74" t="s">
        <v>470</v>
      </c>
      <c r="T225" s="79"/>
      <c r="V225" s="83" t="s">
        <v>24</v>
      </c>
      <c r="W225" s="79">
        <v>145</v>
      </c>
      <c r="X225" s="80">
        <f t="shared" si="17"/>
        <v>6072.6</v>
      </c>
      <c r="Y225" s="82">
        <v>260</v>
      </c>
      <c r="Z225" s="82">
        <f t="shared" si="18"/>
        <v>10888.800000000001</v>
      </c>
      <c r="AA225" s="79">
        <f t="shared" si="19"/>
        <v>35598.000000000007</v>
      </c>
    </row>
    <row r="226" spans="1:28" s="83" customFormat="1" ht="15.75">
      <c r="A226" s="32">
        <v>223</v>
      </c>
      <c r="B226" s="72">
        <v>45941</v>
      </c>
      <c r="C226" s="72">
        <v>45941</v>
      </c>
      <c r="D226" s="68" t="s">
        <v>685</v>
      </c>
      <c r="E226" s="74" t="s">
        <v>686</v>
      </c>
      <c r="F226" s="74" t="s">
        <v>687</v>
      </c>
      <c r="G226" s="74" t="s">
        <v>521</v>
      </c>
      <c r="H226" s="52" t="s">
        <v>466</v>
      </c>
      <c r="I226" s="53" t="s">
        <v>46</v>
      </c>
      <c r="J226" s="42" t="s">
        <v>23</v>
      </c>
      <c r="K226" s="36" t="s">
        <v>38</v>
      </c>
      <c r="L226" s="76" t="s">
        <v>61</v>
      </c>
      <c r="M226" s="74" t="s">
        <v>55</v>
      </c>
      <c r="N226" s="88" t="s">
        <v>688</v>
      </c>
      <c r="O226" s="74" t="s">
        <v>689</v>
      </c>
      <c r="P226" s="77">
        <f t="shared" si="15"/>
        <v>49.440000000000005</v>
      </c>
      <c r="Q226" s="74" t="s">
        <v>524</v>
      </c>
      <c r="R226" s="78">
        <f t="shared" si="16"/>
        <v>22000.800000000003</v>
      </c>
      <c r="S226" s="74" t="s">
        <v>470</v>
      </c>
      <c r="T226" s="79"/>
      <c r="V226" s="83" t="s">
        <v>24</v>
      </c>
      <c r="W226" s="79">
        <v>145</v>
      </c>
      <c r="X226" s="80">
        <f t="shared" si="17"/>
        <v>7168.8000000000011</v>
      </c>
      <c r="Y226" s="82">
        <v>260</v>
      </c>
      <c r="Z226" s="82">
        <f t="shared" si="18"/>
        <v>12854.400000000001</v>
      </c>
      <c r="AA226" s="79">
        <f t="shared" si="19"/>
        <v>42024.000000000007</v>
      </c>
    </row>
    <row r="227" spans="1:28" s="83" customFormat="1" ht="15.75">
      <c r="A227" s="32">
        <v>224</v>
      </c>
      <c r="B227" s="72">
        <v>45941</v>
      </c>
      <c r="C227" s="72">
        <v>45941</v>
      </c>
      <c r="D227" s="68" t="s">
        <v>690</v>
      </c>
      <c r="E227" s="74" t="s">
        <v>691</v>
      </c>
      <c r="F227" s="74" t="s">
        <v>692</v>
      </c>
      <c r="G227" s="74" t="s">
        <v>557</v>
      </c>
      <c r="H227" s="52" t="s">
        <v>466</v>
      </c>
      <c r="I227" s="53" t="s">
        <v>46</v>
      </c>
      <c r="J227" s="42" t="s">
        <v>23</v>
      </c>
      <c r="K227" s="36" t="s">
        <v>38</v>
      </c>
      <c r="L227" s="76" t="s">
        <v>39</v>
      </c>
      <c r="M227" s="74" t="s">
        <v>40</v>
      </c>
      <c r="N227" s="88" t="s">
        <v>693</v>
      </c>
      <c r="O227" s="74" t="s">
        <v>694</v>
      </c>
      <c r="P227" s="77">
        <f t="shared" si="15"/>
        <v>31.160000000000004</v>
      </c>
      <c r="Q227" s="74" t="s">
        <v>469</v>
      </c>
      <c r="R227" s="78">
        <f t="shared" si="16"/>
        <v>9815.4000000000015</v>
      </c>
      <c r="S227" s="74" t="s">
        <v>470</v>
      </c>
      <c r="T227" s="79"/>
      <c r="V227" s="83" t="s">
        <v>24</v>
      </c>
      <c r="W227" s="79">
        <v>145</v>
      </c>
      <c r="X227" s="80">
        <f t="shared" si="17"/>
        <v>4518.2000000000007</v>
      </c>
      <c r="Y227" s="82">
        <v>260</v>
      </c>
      <c r="Z227" s="82">
        <f t="shared" si="18"/>
        <v>8101.6000000000013</v>
      </c>
      <c r="AA227" s="79">
        <f t="shared" si="19"/>
        <v>22435.200000000004</v>
      </c>
    </row>
    <row r="228" spans="1:28" s="83" customFormat="1" ht="15.75">
      <c r="A228" s="32">
        <v>225</v>
      </c>
      <c r="B228" s="72">
        <v>45941</v>
      </c>
      <c r="C228" s="72">
        <v>45941</v>
      </c>
      <c r="D228" s="68" t="s">
        <v>695</v>
      </c>
      <c r="E228" s="74" t="s">
        <v>696</v>
      </c>
      <c r="F228" s="74" t="s">
        <v>697</v>
      </c>
      <c r="G228" s="74" t="s">
        <v>698</v>
      </c>
      <c r="H228" s="52" t="s">
        <v>466</v>
      </c>
      <c r="I228" s="53" t="s">
        <v>46</v>
      </c>
      <c r="J228" s="42" t="s">
        <v>23</v>
      </c>
      <c r="K228" s="36" t="s">
        <v>38</v>
      </c>
      <c r="L228" s="76" t="s">
        <v>113</v>
      </c>
      <c r="M228" s="74" t="s">
        <v>55</v>
      </c>
      <c r="N228" s="88" t="s">
        <v>699</v>
      </c>
      <c r="O228" s="74" t="s">
        <v>646</v>
      </c>
      <c r="P228" s="77">
        <f t="shared" si="15"/>
        <v>35.54</v>
      </c>
      <c r="Q228" s="74" t="s">
        <v>524</v>
      </c>
      <c r="R228" s="78">
        <f t="shared" si="16"/>
        <v>15815.3</v>
      </c>
      <c r="S228" s="74" t="s">
        <v>470</v>
      </c>
      <c r="T228" s="79"/>
      <c r="V228" s="83" t="s">
        <v>24</v>
      </c>
      <c r="W228" s="79">
        <v>145</v>
      </c>
      <c r="X228" s="80">
        <f t="shared" si="17"/>
        <v>5153.3</v>
      </c>
      <c r="Y228" s="82">
        <v>260</v>
      </c>
      <c r="Z228" s="82">
        <f t="shared" si="18"/>
        <v>9240.4</v>
      </c>
      <c r="AA228" s="79">
        <f t="shared" si="19"/>
        <v>30209</v>
      </c>
    </row>
    <row r="229" spans="1:28" s="83" customFormat="1" ht="15.75">
      <c r="A229" s="32">
        <v>226</v>
      </c>
      <c r="B229" s="72">
        <v>45941</v>
      </c>
      <c r="C229" s="72">
        <v>45941</v>
      </c>
      <c r="D229" s="68" t="s">
        <v>700</v>
      </c>
      <c r="E229" s="74" t="s">
        <v>701</v>
      </c>
      <c r="F229" s="74" t="s">
        <v>702</v>
      </c>
      <c r="G229" s="74" t="s">
        <v>487</v>
      </c>
      <c r="H229" s="52" t="s">
        <v>466</v>
      </c>
      <c r="I229" s="53" t="s">
        <v>46</v>
      </c>
      <c r="J229" s="42" t="s">
        <v>23</v>
      </c>
      <c r="K229" s="36" t="s">
        <v>38</v>
      </c>
      <c r="L229" s="76" t="s">
        <v>51</v>
      </c>
      <c r="M229" s="74" t="s">
        <v>48</v>
      </c>
      <c r="N229" s="88" t="s">
        <v>703</v>
      </c>
      <c r="O229" s="74" t="s">
        <v>704</v>
      </c>
      <c r="P229" s="77">
        <f t="shared" si="15"/>
        <v>43.84</v>
      </c>
      <c r="Q229" s="74" t="s">
        <v>483</v>
      </c>
      <c r="R229" s="78">
        <f t="shared" si="16"/>
        <v>23892.800000000003</v>
      </c>
      <c r="S229" s="74" t="s">
        <v>470</v>
      </c>
      <c r="T229" s="79"/>
      <c r="V229" s="83" t="s">
        <v>24</v>
      </c>
      <c r="W229" s="79">
        <v>145</v>
      </c>
      <c r="X229" s="80">
        <f t="shared" si="17"/>
        <v>6356.8</v>
      </c>
      <c r="Y229" s="82">
        <v>260</v>
      </c>
      <c r="Z229" s="82">
        <f t="shared" si="18"/>
        <v>11398.400000000001</v>
      </c>
      <c r="AA229" s="79">
        <f t="shared" si="19"/>
        <v>41648</v>
      </c>
    </row>
    <row r="230" spans="1:28" s="83" customFormat="1" ht="15.75">
      <c r="A230" s="32">
        <v>227</v>
      </c>
      <c r="B230" s="72">
        <v>45941</v>
      </c>
      <c r="C230" s="72">
        <v>45941</v>
      </c>
      <c r="D230" s="68" t="s">
        <v>705</v>
      </c>
      <c r="E230" s="74" t="s">
        <v>706</v>
      </c>
      <c r="F230" s="74" t="s">
        <v>707</v>
      </c>
      <c r="G230" s="74" t="s">
        <v>708</v>
      </c>
      <c r="H230" s="52" t="s">
        <v>466</v>
      </c>
      <c r="I230" s="53" t="s">
        <v>46</v>
      </c>
      <c r="J230" s="42" t="s">
        <v>23</v>
      </c>
      <c r="K230" s="36" t="s">
        <v>38</v>
      </c>
      <c r="L230" s="76" t="s">
        <v>172</v>
      </c>
      <c r="M230" s="74" t="s">
        <v>48</v>
      </c>
      <c r="N230" s="88" t="s">
        <v>709</v>
      </c>
      <c r="O230" s="74" t="s">
        <v>710</v>
      </c>
      <c r="P230" s="77">
        <f t="shared" si="15"/>
        <v>51.96</v>
      </c>
      <c r="Q230" s="74" t="s">
        <v>483</v>
      </c>
      <c r="R230" s="78">
        <f t="shared" si="16"/>
        <v>28318.2</v>
      </c>
      <c r="S230" s="74" t="s">
        <v>470</v>
      </c>
      <c r="T230" s="79"/>
      <c r="V230" s="83" t="s">
        <v>24</v>
      </c>
      <c r="W230" s="79">
        <v>145</v>
      </c>
      <c r="X230" s="80">
        <f t="shared" si="17"/>
        <v>7534.2</v>
      </c>
      <c r="Y230" s="82">
        <v>260</v>
      </c>
      <c r="Z230" s="82">
        <f t="shared" si="18"/>
        <v>13509.6</v>
      </c>
      <c r="AA230" s="79">
        <f t="shared" si="19"/>
        <v>49362</v>
      </c>
    </row>
    <row r="231" spans="1:28" s="83" customFormat="1" ht="15.75">
      <c r="A231" s="32">
        <v>228</v>
      </c>
      <c r="B231" s="72">
        <v>45941</v>
      </c>
      <c r="C231" s="72">
        <v>45941</v>
      </c>
      <c r="D231" s="68" t="s">
        <v>711</v>
      </c>
      <c r="E231" s="74" t="s">
        <v>712</v>
      </c>
      <c r="F231" s="74" t="s">
        <v>713</v>
      </c>
      <c r="G231" s="74" t="s">
        <v>714</v>
      </c>
      <c r="H231" s="52" t="s">
        <v>466</v>
      </c>
      <c r="I231" s="53" t="s">
        <v>46</v>
      </c>
      <c r="J231" s="42" t="s">
        <v>23</v>
      </c>
      <c r="K231" s="36" t="s">
        <v>38</v>
      </c>
      <c r="L231" s="76" t="s">
        <v>122</v>
      </c>
      <c r="M231" s="74" t="s">
        <v>55</v>
      </c>
      <c r="N231" s="88" t="s">
        <v>715</v>
      </c>
      <c r="O231" s="74" t="s">
        <v>716</v>
      </c>
      <c r="P231" s="77">
        <f t="shared" si="15"/>
        <v>50.34</v>
      </c>
      <c r="Q231" s="74" t="s">
        <v>524</v>
      </c>
      <c r="R231" s="78">
        <f t="shared" si="16"/>
        <v>22401.300000000003</v>
      </c>
      <c r="S231" s="74" t="s">
        <v>470</v>
      </c>
      <c r="T231" s="79"/>
      <c r="V231" s="83" t="s">
        <v>24</v>
      </c>
      <c r="W231" s="79">
        <v>145</v>
      </c>
      <c r="X231" s="80">
        <f t="shared" si="17"/>
        <v>7299.3</v>
      </c>
      <c r="Y231" s="82">
        <v>260</v>
      </c>
      <c r="Z231" s="82">
        <f t="shared" si="18"/>
        <v>13088.400000000001</v>
      </c>
      <c r="AA231" s="79">
        <f t="shared" si="19"/>
        <v>42789</v>
      </c>
    </row>
    <row r="232" spans="1:28" s="83" customFormat="1" ht="15.75">
      <c r="A232" s="32">
        <v>229</v>
      </c>
      <c r="B232" s="72">
        <v>45941</v>
      </c>
      <c r="C232" s="72">
        <v>45942</v>
      </c>
      <c r="D232" s="68" t="s">
        <v>717</v>
      </c>
      <c r="E232" s="74" t="s">
        <v>718</v>
      </c>
      <c r="F232" s="74" t="s">
        <v>719</v>
      </c>
      <c r="G232" s="74" t="s">
        <v>720</v>
      </c>
      <c r="H232" s="52" t="s">
        <v>466</v>
      </c>
      <c r="I232" s="53" t="s">
        <v>46</v>
      </c>
      <c r="J232" s="42" t="s">
        <v>23</v>
      </c>
      <c r="K232" s="36" t="s">
        <v>38</v>
      </c>
      <c r="L232" s="76" t="s">
        <v>58</v>
      </c>
      <c r="M232" s="74" t="s">
        <v>55</v>
      </c>
      <c r="N232" s="88" t="s">
        <v>721</v>
      </c>
      <c r="O232" s="74" t="s">
        <v>722</v>
      </c>
      <c r="P232" s="77">
        <f t="shared" si="15"/>
        <v>52.7</v>
      </c>
      <c r="Q232" s="74" t="s">
        <v>524</v>
      </c>
      <c r="R232" s="78">
        <f t="shared" si="16"/>
        <v>23451.5</v>
      </c>
      <c r="S232" s="74" t="s">
        <v>470</v>
      </c>
      <c r="T232" s="79"/>
      <c r="V232" s="83" t="s">
        <v>24</v>
      </c>
      <c r="W232" s="79">
        <v>145</v>
      </c>
      <c r="X232" s="80">
        <f t="shared" si="17"/>
        <v>7641.5</v>
      </c>
      <c r="Y232" s="82">
        <v>260</v>
      </c>
      <c r="Z232" s="82">
        <f t="shared" si="18"/>
        <v>13702</v>
      </c>
      <c r="AA232" s="79">
        <f t="shared" si="19"/>
        <v>44795</v>
      </c>
    </row>
    <row r="233" spans="1:28" s="83" customFormat="1" ht="15.75">
      <c r="A233" s="32">
        <v>230</v>
      </c>
      <c r="B233" s="72">
        <v>45941</v>
      </c>
      <c r="C233" s="72">
        <v>45942</v>
      </c>
      <c r="D233" s="68" t="s">
        <v>723</v>
      </c>
      <c r="E233" s="74" t="s">
        <v>724</v>
      </c>
      <c r="F233" s="74" t="s">
        <v>725</v>
      </c>
      <c r="G233" s="74" t="s">
        <v>528</v>
      </c>
      <c r="H233" s="52" t="s">
        <v>466</v>
      </c>
      <c r="I233" s="53" t="s">
        <v>46</v>
      </c>
      <c r="J233" s="42" t="s">
        <v>23</v>
      </c>
      <c r="K233" s="36" t="s">
        <v>38</v>
      </c>
      <c r="L233" s="76" t="s">
        <v>98</v>
      </c>
      <c r="M233" s="74" t="s">
        <v>55</v>
      </c>
      <c r="N233" s="88" t="s">
        <v>726</v>
      </c>
      <c r="O233" s="74" t="s">
        <v>727</v>
      </c>
      <c r="P233" s="77">
        <f t="shared" si="15"/>
        <v>38.36</v>
      </c>
      <c r="Q233" s="74" t="s">
        <v>524</v>
      </c>
      <c r="R233" s="78">
        <f t="shared" si="16"/>
        <v>17070.2</v>
      </c>
      <c r="S233" s="74" t="s">
        <v>470</v>
      </c>
      <c r="T233" s="79"/>
      <c r="V233" s="83" t="s">
        <v>24</v>
      </c>
      <c r="W233" s="79">
        <v>145</v>
      </c>
      <c r="X233" s="80">
        <f t="shared" si="17"/>
        <v>5562.2</v>
      </c>
      <c r="Y233" s="82">
        <v>260</v>
      </c>
      <c r="Z233" s="82">
        <f t="shared" si="18"/>
        <v>9973.6</v>
      </c>
      <c r="AA233" s="79">
        <f t="shared" si="19"/>
        <v>32606</v>
      </c>
    </row>
    <row r="234" spans="1:28" s="83" customFormat="1" ht="15.75">
      <c r="A234" s="32">
        <v>231</v>
      </c>
      <c r="B234" s="72">
        <v>45941</v>
      </c>
      <c r="C234" s="72">
        <v>45942</v>
      </c>
      <c r="D234" s="68" t="s">
        <v>728</v>
      </c>
      <c r="E234" s="74" t="s">
        <v>729</v>
      </c>
      <c r="F234" s="74" t="s">
        <v>730</v>
      </c>
      <c r="G234" s="74" t="s">
        <v>465</v>
      </c>
      <c r="H234" s="52" t="s">
        <v>466</v>
      </c>
      <c r="I234" s="53" t="s">
        <v>46</v>
      </c>
      <c r="J234" s="42" t="s">
        <v>23</v>
      </c>
      <c r="K234" s="36" t="s">
        <v>38</v>
      </c>
      <c r="L234" s="76" t="s">
        <v>79</v>
      </c>
      <c r="M234" s="74" t="s">
        <v>48</v>
      </c>
      <c r="N234" s="88" t="s">
        <v>731</v>
      </c>
      <c r="O234" s="74" t="s">
        <v>732</v>
      </c>
      <c r="P234" s="77">
        <f t="shared" si="15"/>
        <v>44.019999999999996</v>
      </c>
      <c r="Q234" s="74" t="s">
        <v>483</v>
      </c>
      <c r="R234" s="78">
        <f t="shared" si="16"/>
        <v>23990.899999999998</v>
      </c>
      <c r="S234" s="74" t="s">
        <v>470</v>
      </c>
      <c r="T234" s="79"/>
      <c r="V234" s="83" t="s">
        <v>24</v>
      </c>
      <c r="W234" s="79">
        <v>145</v>
      </c>
      <c r="X234" s="80">
        <f t="shared" si="17"/>
        <v>6382.9</v>
      </c>
      <c r="Y234" s="82">
        <v>260</v>
      </c>
      <c r="Z234" s="82">
        <f t="shared" si="18"/>
        <v>11445.199999999999</v>
      </c>
      <c r="AA234" s="79">
        <f t="shared" si="19"/>
        <v>41818.999999999993</v>
      </c>
    </row>
    <row r="235" spans="1:28" s="83" customFormat="1" ht="15.75">
      <c r="A235" s="32">
        <v>232</v>
      </c>
      <c r="B235" s="72">
        <v>45941</v>
      </c>
      <c r="C235" s="72">
        <v>45942</v>
      </c>
      <c r="D235" s="68" t="s">
        <v>733</v>
      </c>
      <c r="E235" s="74" t="s">
        <v>734</v>
      </c>
      <c r="F235" s="74" t="s">
        <v>735</v>
      </c>
      <c r="G235" s="74" t="s">
        <v>521</v>
      </c>
      <c r="H235" s="52" t="s">
        <v>466</v>
      </c>
      <c r="I235" s="53" t="s">
        <v>46</v>
      </c>
      <c r="J235" s="42" t="s">
        <v>23</v>
      </c>
      <c r="K235" s="36" t="s">
        <v>38</v>
      </c>
      <c r="L235" s="76" t="s">
        <v>193</v>
      </c>
      <c r="M235" s="74" t="s">
        <v>40</v>
      </c>
      <c r="N235" s="88" t="s">
        <v>736</v>
      </c>
      <c r="O235" s="74" t="s">
        <v>737</v>
      </c>
      <c r="P235" s="77">
        <f t="shared" si="15"/>
        <v>49.099999999999994</v>
      </c>
      <c r="Q235" s="74" t="s">
        <v>469</v>
      </c>
      <c r="R235" s="78">
        <f t="shared" si="16"/>
        <v>15466.499999999998</v>
      </c>
      <c r="S235" s="74" t="s">
        <v>470</v>
      </c>
      <c r="T235" s="79"/>
      <c r="V235" s="83" t="s">
        <v>24</v>
      </c>
      <c r="W235" s="79">
        <v>145</v>
      </c>
      <c r="X235" s="80">
        <f t="shared" si="17"/>
        <v>7119.4999999999991</v>
      </c>
      <c r="Y235" s="82">
        <v>260</v>
      </c>
      <c r="Z235" s="82">
        <f t="shared" si="18"/>
        <v>12765.999999999998</v>
      </c>
      <c r="AA235" s="79">
        <f t="shared" si="19"/>
        <v>35351.999999999993</v>
      </c>
    </row>
    <row r="236" spans="1:28" s="83" customFormat="1" ht="15.75">
      <c r="A236" s="32">
        <v>233</v>
      </c>
      <c r="B236" s="72">
        <v>45941</v>
      </c>
      <c r="C236" s="72">
        <v>45942</v>
      </c>
      <c r="D236" s="68" t="s">
        <v>738</v>
      </c>
      <c r="E236" s="74" t="s">
        <v>739</v>
      </c>
      <c r="F236" s="74" t="s">
        <v>740</v>
      </c>
      <c r="G236" s="74" t="s">
        <v>534</v>
      </c>
      <c r="H236" s="52" t="s">
        <v>466</v>
      </c>
      <c r="I236" s="53" t="s">
        <v>46</v>
      </c>
      <c r="J236" s="42" t="s">
        <v>23</v>
      </c>
      <c r="K236" s="36" t="s">
        <v>38</v>
      </c>
      <c r="L236" s="76" t="s">
        <v>623</v>
      </c>
      <c r="M236" s="74" t="s">
        <v>48</v>
      </c>
      <c r="N236" s="88" t="s">
        <v>741</v>
      </c>
      <c r="O236" s="74" t="s">
        <v>625</v>
      </c>
      <c r="P236" s="77">
        <f t="shared" si="15"/>
        <v>46.899999999999991</v>
      </c>
      <c r="Q236" s="74" t="s">
        <v>483</v>
      </c>
      <c r="R236" s="78">
        <f t="shared" si="16"/>
        <v>25560.499999999996</v>
      </c>
      <c r="S236" s="74" t="s">
        <v>470</v>
      </c>
      <c r="T236" s="79"/>
      <c r="V236" s="83" t="s">
        <v>24</v>
      </c>
      <c r="W236" s="79">
        <v>145</v>
      </c>
      <c r="X236" s="80">
        <f t="shared" si="17"/>
        <v>6800.4999999999991</v>
      </c>
      <c r="Y236" s="82">
        <v>260</v>
      </c>
      <c r="Z236" s="82">
        <f t="shared" si="18"/>
        <v>12193.999999999998</v>
      </c>
      <c r="AA236" s="79">
        <f t="shared" si="19"/>
        <v>44554.999999999993</v>
      </c>
    </row>
    <row r="237" spans="1:28" s="83" customFormat="1" ht="15.75">
      <c r="A237" s="32">
        <v>234</v>
      </c>
      <c r="B237" s="72">
        <v>45941</v>
      </c>
      <c r="C237" s="72">
        <v>45942</v>
      </c>
      <c r="D237" s="68" t="s">
        <v>742</v>
      </c>
      <c r="E237" s="74" t="s">
        <v>743</v>
      </c>
      <c r="F237" s="74" t="s">
        <v>744</v>
      </c>
      <c r="G237" s="74" t="s">
        <v>499</v>
      </c>
      <c r="H237" s="52" t="s">
        <v>466</v>
      </c>
      <c r="I237" s="53" t="s">
        <v>46</v>
      </c>
      <c r="J237" s="42" t="s">
        <v>23</v>
      </c>
      <c r="K237" s="36" t="s">
        <v>38</v>
      </c>
      <c r="L237" s="76" t="s">
        <v>142</v>
      </c>
      <c r="M237" s="74" t="s">
        <v>55</v>
      </c>
      <c r="N237" s="88" t="s">
        <v>745</v>
      </c>
      <c r="O237" s="74" t="s">
        <v>746</v>
      </c>
      <c r="P237" s="77">
        <f t="shared" si="15"/>
        <v>39.379999999999995</v>
      </c>
      <c r="Q237" s="74" t="s">
        <v>524</v>
      </c>
      <c r="R237" s="78">
        <f t="shared" si="16"/>
        <v>17524.099999999999</v>
      </c>
      <c r="S237" s="74" t="s">
        <v>470</v>
      </c>
      <c r="T237" s="79"/>
      <c r="V237" s="83" t="s">
        <v>24</v>
      </c>
      <c r="W237" s="79">
        <v>145</v>
      </c>
      <c r="X237" s="80">
        <f t="shared" si="17"/>
        <v>5710.0999999999995</v>
      </c>
      <c r="Y237" s="82">
        <v>260</v>
      </c>
      <c r="Z237" s="82">
        <f t="shared" si="18"/>
        <v>10238.799999999999</v>
      </c>
      <c r="AA237" s="79">
        <f t="shared" si="19"/>
        <v>33473</v>
      </c>
    </row>
    <row r="238" spans="1:28" s="83" customFormat="1" ht="15.75">
      <c r="A238" s="32">
        <v>235</v>
      </c>
      <c r="B238" s="72">
        <v>45941</v>
      </c>
      <c r="C238" s="72">
        <v>45942</v>
      </c>
      <c r="D238" s="68" t="s">
        <v>747</v>
      </c>
      <c r="E238" s="74" t="s">
        <v>748</v>
      </c>
      <c r="F238" s="74" t="s">
        <v>749</v>
      </c>
      <c r="G238" s="74" t="s">
        <v>487</v>
      </c>
      <c r="H238" s="52" t="s">
        <v>466</v>
      </c>
      <c r="I238" s="53" t="s">
        <v>46</v>
      </c>
      <c r="J238" s="42" t="s">
        <v>23</v>
      </c>
      <c r="K238" s="36" t="s">
        <v>38</v>
      </c>
      <c r="L238" s="76" t="s">
        <v>134</v>
      </c>
      <c r="M238" s="74" t="s">
        <v>40</v>
      </c>
      <c r="N238" s="88" t="s">
        <v>750</v>
      </c>
      <c r="O238" s="74" t="s">
        <v>599</v>
      </c>
      <c r="P238" s="77">
        <f t="shared" si="15"/>
        <v>43.4</v>
      </c>
      <c r="Q238" s="74" t="s">
        <v>469</v>
      </c>
      <c r="R238" s="78">
        <f t="shared" si="16"/>
        <v>13671</v>
      </c>
      <c r="S238" s="74" t="s">
        <v>470</v>
      </c>
      <c r="T238" s="79"/>
      <c r="V238" s="83" t="s">
        <v>24</v>
      </c>
      <c r="W238" s="79">
        <v>145</v>
      </c>
      <c r="X238" s="80">
        <f t="shared" si="17"/>
        <v>6293</v>
      </c>
      <c r="Y238" s="82">
        <v>260</v>
      </c>
      <c r="Z238" s="82">
        <f t="shared" si="18"/>
        <v>11284</v>
      </c>
      <c r="AA238" s="79">
        <f t="shared" si="19"/>
        <v>31248</v>
      </c>
    </row>
    <row r="239" spans="1:28" s="83" customFormat="1" ht="15.75">
      <c r="A239" s="32">
        <v>236</v>
      </c>
      <c r="B239" s="72">
        <v>45941</v>
      </c>
      <c r="C239" s="72">
        <v>45942</v>
      </c>
      <c r="D239" s="68" t="s">
        <v>751</v>
      </c>
      <c r="E239" s="74" t="s">
        <v>470</v>
      </c>
      <c r="F239" s="74" t="s">
        <v>470</v>
      </c>
      <c r="G239" s="74" t="s">
        <v>470</v>
      </c>
      <c r="H239" s="52" t="s">
        <v>470</v>
      </c>
      <c r="I239" s="53" t="s">
        <v>752</v>
      </c>
      <c r="J239" s="42" t="s">
        <v>23</v>
      </c>
      <c r="K239" s="36" t="s">
        <v>30</v>
      </c>
      <c r="L239" s="76" t="s">
        <v>753</v>
      </c>
      <c r="M239" s="74" t="s">
        <v>31</v>
      </c>
      <c r="N239" s="88" t="s">
        <v>754</v>
      </c>
      <c r="O239" s="74" t="s">
        <v>755</v>
      </c>
      <c r="P239" s="77">
        <f t="shared" si="15"/>
        <v>5.66</v>
      </c>
      <c r="Q239" s="74" t="s">
        <v>756</v>
      </c>
      <c r="R239" s="78">
        <f t="shared" si="16"/>
        <v>792.4</v>
      </c>
      <c r="S239" s="74" t="s">
        <v>757</v>
      </c>
      <c r="T239" s="79"/>
      <c r="V239" s="83" t="s">
        <v>24</v>
      </c>
      <c r="W239" s="79"/>
      <c r="X239" s="80">
        <f t="shared" si="17"/>
        <v>0</v>
      </c>
      <c r="Y239" s="82"/>
      <c r="Z239" s="82">
        <f t="shared" si="18"/>
        <v>0</v>
      </c>
      <c r="AA239" s="79">
        <f t="shared" si="19"/>
        <v>792.4</v>
      </c>
    </row>
    <row r="240" spans="1:28" s="83" customFormat="1" ht="15.75">
      <c r="A240" s="32">
        <v>237</v>
      </c>
      <c r="B240" s="72">
        <v>45942</v>
      </c>
      <c r="C240" s="72">
        <v>45942</v>
      </c>
      <c r="D240" s="68">
        <v>251012008</v>
      </c>
      <c r="E240" s="74" t="s">
        <v>758</v>
      </c>
      <c r="F240" s="74" t="s">
        <v>759</v>
      </c>
      <c r="G240" s="74">
        <v>37</v>
      </c>
      <c r="H240" s="52"/>
      <c r="I240" s="53" t="s">
        <v>760</v>
      </c>
      <c r="J240" s="42" t="s">
        <v>23</v>
      </c>
      <c r="K240" s="36" t="s">
        <v>38</v>
      </c>
      <c r="L240" s="76" t="s">
        <v>509</v>
      </c>
      <c r="M240" s="74" t="s">
        <v>502</v>
      </c>
      <c r="N240" s="88">
        <v>51.58</v>
      </c>
      <c r="O240" s="74">
        <v>13.96</v>
      </c>
      <c r="P240" s="77">
        <f t="shared" si="15"/>
        <v>37.619999999999997</v>
      </c>
      <c r="Q240" s="74">
        <v>415</v>
      </c>
      <c r="R240" s="78">
        <f t="shared" si="16"/>
        <v>15612.3</v>
      </c>
      <c r="S240" s="74"/>
      <c r="T240" s="79"/>
      <c r="V240" s="83" t="s">
        <v>24</v>
      </c>
      <c r="W240" s="83">
        <v>145</v>
      </c>
      <c r="X240" s="79">
        <f t="shared" si="17"/>
        <v>5454.9</v>
      </c>
      <c r="Y240" s="80">
        <v>230</v>
      </c>
      <c r="Z240" s="82">
        <f t="shared" si="18"/>
        <v>8652.5999999999985</v>
      </c>
      <c r="AA240" s="82">
        <f t="shared" si="19"/>
        <v>29719.799999999996</v>
      </c>
      <c r="AB240" s="79"/>
    </row>
    <row r="241" spans="1:28" s="83" customFormat="1" ht="15.75">
      <c r="A241" s="32">
        <v>238</v>
      </c>
      <c r="B241" s="72">
        <v>45942</v>
      </c>
      <c r="C241" s="72">
        <v>45942</v>
      </c>
      <c r="D241" s="68">
        <v>251012009</v>
      </c>
      <c r="E241" s="74" t="s">
        <v>761</v>
      </c>
      <c r="F241" s="74" t="s">
        <v>762</v>
      </c>
      <c r="G241" s="74">
        <v>40</v>
      </c>
      <c r="H241" s="52"/>
      <c r="I241" s="53" t="s">
        <v>760</v>
      </c>
      <c r="J241" s="42" t="s">
        <v>23</v>
      </c>
      <c r="K241" s="36" t="s">
        <v>38</v>
      </c>
      <c r="L241" s="76" t="s">
        <v>569</v>
      </c>
      <c r="M241" s="74" t="s">
        <v>502</v>
      </c>
      <c r="N241" s="88">
        <v>55.18</v>
      </c>
      <c r="O241" s="74">
        <v>14.24</v>
      </c>
      <c r="P241" s="77">
        <f t="shared" si="15"/>
        <v>40.94</v>
      </c>
      <c r="Q241" s="74">
        <v>415</v>
      </c>
      <c r="R241" s="78">
        <f t="shared" si="16"/>
        <v>16990.099999999999</v>
      </c>
      <c r="S241" s="74"/>
      <c r="T241" s="79"/>
      <c r="V241" s="83" t="s">
        <v>24</v>
      </c>
      <c r="W241" s="83">
        <v>145</v>
      </c>
      <c r="X241" s="79">
        <f t="shared" si="17"/>
        <v>5936.2999999999993</v>
      </c>
      <c r="Y241" s="80">
        <v>230</v>
      </c>
      <c r="Z241" s="82">
        <f t="shared" si="18"/>
        <v>9416.1999999999989</v>
      </c>
      <c r="AA241" s="82">
        <f t="shared" si="19"/>
        <v>32342.6</v>
      </c>
      <c r="AB241" s="79"/>
    </row>
    <row r="242" spans="1:28" s="83" customFormat="1" ht="15.75">
      <c r="A242" s="32">
        <v>239</v>
      </c>
      <c r="B242" s="72">
        <v>45942</v>
      </c>
      <c r="C242" s="72">
        <v>45942</v>
      </c>
      <c r="D242" s="68">
        <v>251012010</v>
      </c>
      <c r="E242" s="74" t="s">
        <v>763</v>
      </c>
      <c r="F242" s="74" t="s">
        <v>764</v>
      </c>
      <c r="G242" s="74">
        <v>30</v>
      </c>
      <c r="H242" s="52"/>
      <c r="I242" s="53" t="s">
        <v>760</v>
      </c>
      <c r="J242" s="42" t="s">
        <v>23</v>
      </c>
      <c r="K242" s="36" t="s">
        <v>38</v>
      </c>
      <c r="L242" s="76" t="s">
        <v>216</v>
      </c>
      <c r="M242" s="74" t="s">
        <v>502</v>
      </c>
      <c r="N242" s="88">
        <v>42.52</v>
      </c>
      <c r="O242" s="74">
        <v>12</v>
      </c>
      <c r="P242" s="77">
        <f t="shared" si="15"/>
        <v>30.520000000000003</v>
      </c>
      <c r="Q242" s="74">
        <v>415</v>
      </c>
      <c r="R242" s="78">
        <f t="shared" si="16"/>
        <v>12665.800000000001</v>
      </c>
      <c r="S242" s="74"/>
      <c r="T242" s="79"/>
      <c r="V242" s="83" t="s">
        <v>24</v>
      </c>
      <c r="W242" s="83">
        <v>145</v>
      </c>
      <c r="X242" s="79">
        <f t="shared" si="17"/>
        <v>4425.4000000000005</v>
      </c>
      <c r="Y242" s="80">
        <v>230</v>
      </c>
      <c r="Z242" s="82">
        <f t="shared" si="18"/>
        <v>7019.6</v>
      </c>
      <c r="AA242" s="82">
        <f t="shared" si="19"/>
        <v>24110.800000000003</v>
      </c>
      <c r="AB242" s="79"/>
    </row>
    <row r="243" spans="1:28" s="83" customFormat="1" ht="15.75">
      <c r="A243" s="32">
        <v>240</v>
      </c>
      <c r="B243" s="72">
        <v>45942</v>
      </c>
      <c r="C243" s="72">
        <v>45942</v>
      </c>
      <c r="D243" s="68">
        <v>251012011</v>
      </c>
      <c r="E243" s="74" t="s">
        <v>765</v>
      </c>
      <c r="F243" s="74" t="s">
        <v>766</v>
      </c>
      <c r="G243" s="74">
        <v>32</v>
      </c>
      <c r="H243" s="52"/>
      <c r="I243" s="53" t="s">
        <v>760</v>
      </c>
      <c r="J243" s="42" t="s">
        <v>23</v>
      </c>
      <c r="K243" s="36" t="s">
        <v>38</v>
      </c>
      <c r="L243" s="76" t="s">
        <v>110</v>
      </c>
      <c r="M243" s="74" t="s">
        <v>502</v>
      </c>
      <c r="N243" s="88">
        <v>43.88</v>
      </c>
      <c r="O243" s="74">
        <v>11.78</v>
      </c>
      <c r="P243" s="77">
        <f t="shared" si="15"/>
        <v>32.1</v>
      </c>
      <c r="Q243" s="74">
        <v>415</v>
      </c>
      <c r="R243" s="78">
        <f t="shared" si="16"/>
        <v>13321.5</v>
      </c>
      <c r="S243" s="74"/>
      <c r="T243" s="79"/>
      <c r="V243" s="83" t="s">
        <v>24</v>
      </c>
      <c r="W243" s="83">
        <v>145</v>
      </c>
      <c r="X243" s="79">
        <f t="shared" si="17"/>
        <v>4654.5</v>
      </c>
      <c r="Y243" s="80">
        <v>230</v>
      </c>
      <c r="Z243" s="82">
        <f t="shared" si="18"/>
        <v>7383</v>
      </c>
      <c r="AA243" s="82">
        <f t="shared" si="19"/>
        <v>25359</v>
      </c>
      <c r="AB243" s="79"/>
    </row>
    <row r="244" spans="1:28" s="83" customFormat="1" ht="15.75">
      <c r="A244" s="32">
        <v>241</v>
      </c>
      <c r="B244" s="72">
        <v>45942</v>
      </c>
      <c r="C244" s="72">
        <v>45942</v>
      </c>
      <c r="D244" s="68" t="s">
        <v>767</v>
      </c>
      <c r="E244" s="74"/>
      <c r="F244" s="74"/>
      <c r="G244" s="74"/>
      <c r="H244" s="52"/>
      <c r="I244" s="53" t="s">
        <v>768</v>
      </c>
      <c r="J244" s="42" t="s">
        <v>23</v>
      </c>
      <c r="K244" s="36" t="s">
        <v>30</v>
      </c>
      <c r="L244" s="76" t="s">
        <v>769</v>
      </c>
      <c r="M244" s="74" t="s">
        <v>31</v>
      </c>
      <c r="N244" s="88">
        <v>9.08</v>
      </c>
      <c r="O244" s="74">
        <v>3.26</v>
      </c>
      <c r="P244" s="77">
        <f t="shared" si="15"/>
        <v>5.82</v>
      </c>
      <c r="Q244" s="74">
        <v>150</v>
      </c>
      <c r="R244" s="78">
        <f t="shared" si="16"/>
        <v>873</v>
      </c>
      <c r="S244" s="74">
        <v>873</v>
      </c>
      <c r="T244" s="79"/>
      <c r="V244" s="83" t="s">
        <v>24</v>
      </c>
      <c r="X244" s="79">
        <f t="shared" si="17"/>
        <v>0</v>
      </c>
      <c r="Y244" s="80"/>
      <c r="Z244" s="82">
        <f t="shared" si="18"/>
        <v>0</v>
      </c>
      <c r="AA244" s="82">
        <f t="shared" si="19"/>
        <v>873</v>
      </c>
      <c r="AB244" s="79"/>
    </row>
    <row r="245" spans="1:28" s="83" customFormat="1" ht="15.75">
      <c r="A245" s="32">
        <v>242</v>
      </c>
      <c r="B245" s="72">
        <v>45942</v>
      </c>
      <c r="C245" s="72">
        <v>45942</v>
      </c>
      <c r="D245" s="68" t="s">
        <v>770</v>
      </c>
      <c r="E245" s="74"/>
      <c r="F245" s="74"/>
      <c r="G245" s="74"/>
      <c r="H245" s="52"/>
      <c r="I245" s="53" t="s">
        <v>768</v>
      </c>
      <c r="J245" s="42" t="s">
        <v>23</v>
      </c>
      <c r="K245" s="36" t="s">
        <v>30</v>
      </c>
      <c r="L245" s="76" t="s">
        <v>771</v>
      </c>
      <c r="M245" s="74" t="s">
        <v>31</v>
      </c>
      <c r="N245" s="88">
        <v>9.48</v>
      </c>
      <c r="O245" s="74">
        <v>3.36</v>
      </c>
      <c r="P245" s="77">
        <f t="shared" si="15"/>
        <v>6.120000000000001</v>
      </c>
      <c r="Q245" s="74">
        <v>150</v>
      </c>
      <c r="R245" s="78">
        <f t="shared" si="16"/>
        <v>918.00000000000011</v>
      </c>
      <c r="S245" s="74">
        <v>920</v>
      </c>
      <c r="T245" s="79"/>
      <c r="V245" s="83" t="s">
        <v>24</v>
      </c>
      <c r="X245" s="79">
        <f t="shared" si="17"/>
        <v>0</v>
      </c>
      <c r="Y245" s="80"/>
      <c r="Z245" s="82">
        <f t="shared" si="18"/>
        <v>0</v>
      </c>
      <c r="AA245" s="82">
        <f t="shared" si="19"/>
        <v>918.00000000000011</v>
      </c>
      <c r="AB245" s="79"/>
    </row>
    <row r="246" spans="1:28" s="83" customFormat="1" ht="15.75">
      <c r="A246" s="32">
        <v>243</v>
      </c>
      <c r="B246" s="72">
        <v>45942</v>
      </c>
      <c r="C246" s="72">
        <v>45942</v>
      </c>
      <c r="D246" s="68" t="s">
        <v>772</v>
      </c>
      <c r="E246" s="74"/>
      <c r="F246" s="74"/>
      <c r="G246" s="74"/>
      <c r="H246" s="52"/>
      <c r="I246" s="53" t="s">
        <v>773</v>
      </c>
      <c r="J246" s="42" t="s">
        <v>23</v>
      </c>
      <c r="K246" s="36" t="s">
        <v>30</v>
      </c>
      <c r="L246" s="76" t="s">
        <v>774</v>
      </c>
      <c r="M246" s="74" t="s">
        <v>31</v>
      </c>
      <c r="N246" s="88">
        <v>9.42</v>
      </c>
      <c r="O246" s="74">
        <v>3.48</v>
      </c>
      <c r="P246" s="77">
        <f t="shared" si="15"/>
        <v>5.9399999999999995</v>
      </c>
      <c r="Q246" s="74">
        <v>150</v>
      </c>
      <c r="R246" s="78">
        <f t="shared" si="16"/>
        <v>890.99999999999989</v>
      </c>
      <c r="S246" s="74">
        <v>890</v>
      </c>
      <c r="T246" s="79"/>
      <c r="V246" s="83" t="s">
        <v>24</v>
      </c>
      <c r="X246" s="79">
        <f t="shared" si="17"/>
        <v>0</v>
      </c>
      <c r="Y246" s="80"/>
      <c r="Z246" s="82">
        <f t="shared" si="18"/>
        <v>0</v>
      </c>
      <c r="AA246" s="82">
        <f t="shared" si="19"/>
        <v>890.99999999999989</v>
      </c>
      <c r="AB246" s="79"/>
    </row>
    <row r="247" spans="1:28" s="83" customFormat="1" ht="15.75">
      <c r="A247" s="32">
        <v>244</v>
      </c>
      <c r="B247" s="72">
        <v>45942</v>
      </c>
      <c r="C247" s="72">
        <v>45942</v>
      </c>
      <c r="D247" s="68" t="s">
        <v>775</v>
      </c>
      <c r="E247" s="74"/>
      <c r="F247" s="74"/>
      <c r="G247" s="74"/>
      <c r="H247" s="52"/>
      <c r="I247" s="53" t="s">
        <v>776</v>
      </c>
      <c r="J247" s="42" t="s">
        <v>23</v>
      </c>
      <c r="K247" s="36" t="s">
        <v>30</v>
      </c>
      <c r="L247" s="76" t="s">
        <v>777</v>
      </c>
      <c r="M247" s="74" t="s">
        <v>31</v>
      </c>
      <c r="N247" s="88">
        <v>9.56</v>
      </c>
      <c r="O247" s="74">
        <v>3.44</v>
      </c>
      <c r="P247" s="77">
        <f t="shared" si="15"/>
        <v>6.120000000000001</v>
      </c>
      <c r="Q247" s="74">
        <v>150</v>
      </c>
      <c r="R247" s="78">
        <f t="shared" si="16"/>
        <v>918.00000000000011</v>
      </c>
      <c r="S247" s="74">
        <v>918</v>
      </c>
      <c r="T247" s="79"/>
      <c r="V247" s="83" t="s">
        <v>24</v>
      </c>
      <c r="X247" s="79">
        <f t="shared" si="17"/>
        <v>0</v>
      </c>
      <c r="Y247" s="80"/>
      <c r="Z247" s="82">
        <f t="shared" si="18"/>
        <v>0</v>
      </c>
      <c r="AA247" s="82">
        <f t="shared" si="19"/>
        <v>918.00000000000011</v>
      </c>
      <c r="AB247" s="79"/>
    </row>
    <row r="248" spans="1:28" s="83" customFormat="1" ht="15.75">
      <c r="A248" s="32">
        <v>245</v>
      </c>
      <c r="B248" s="72">
        <v>45942</v>
      </c>
      <c r="C248" s="72">
        <v>45942</v>
      </c>
      <c r="D248" s="68" t="s">
        <v>778</v>
      </c>
      <c r="E248" s="74"/>
      <c r="F248" s="74"/>
      <c r="G248" s="74"/>
      <c r="H248" s="52"/>
      <c r="I248" s="53" t="s">
        <v>779</v>
      </c>
      <c r="J248" s="42" t="s">
        <v>23</v>
      </c>
      <c r="K248" s="36" t="s">
        <v>30</v>
      </c>
      <c r="L248" s="76" t="s">
        <v>780</v>
      </c>
      <c r="M248" s="74" t="s">
        <v>31</v>
      </c>
      <c r="N248" s="88">
        <v>8.6199999999999992</v>
      </c>
      <c r="O248" s="74">
        <v>3.4</v>
      </c>
      <c r="P248" s="77">
        <f t="shared" si="15"/>
        <v>5.2199999999999989</v>
      </c>
      <c r="Q248" s="74">
        <v>150</v>
      </c>
      <c r="R248" s="78">
        <f t="shared" si="16"/>
        <v>782.99999999999977</v>
      </c>
      <c r="S248" s="74">
        <v>783</v>
      </c>
      <c r="T248" s="79"/>
      <c r="V248" s="83" t="s">
        <v>24</v>
      </c>
      <c r="X248" s="79">
        <f t="shared" si="17"/>
        <v>0</v>
      </c>
      <c r="Y248" s="80"/>
      <c r="Z248" s="82">
        <f t="shared" si="18"/>
        <v>0</v>
      </c>
      <c r="AA248" s="82">
        <f t="shared" si="19"/>
        <v>782.99999999999977</v>
      </c>
      <c r="AB248" s="79"/>
    </row>
    <row r="249" spans="1:28" s="83" customFormat="1" ht="15.75">
      <c r="A249" s="32">
        <v>246</v>
      </c>
      <c r="B249" s="72">
        <v>45942</v>
      </c>
      <c r="C249" s="72">
        <v>45942</v>
      </c>
      <c r="D249" s="68" t="s">
        <v>781</v>
      </c>
      <c r="E249" s="74"/>
      <c r="F249" s="74"/>
      <c r="G249" s="74"/>
      <c r="H249" s="52"/>
      <c r="I249" s="53" t="s">
        <v>782</v>
      </c>
      <c r="J249" s="42" t="s">
        <v>23</v>
      </c>
      <c r="K249" s="36" t="s">
        <v>30</v>
      </c>
      <c r="L249" s="76" t="s">
        <v>783</v>
      </c>
      <c r="M249" s="74" t="s">
        <v>31</v>
      </c>
      <c r="N249" s="88">
        <v>7.88</v>
      </c>
      <c r="O249" s="74">
        <v>3.34</v>
      </c>
      <c r="P249" s="77">
        <f t="shared" si="15"/>
        <v>4.54</v>
      </c>
      <c r="Q249" s="74">
        <v>150</v>
      </c>
      <c r="R249" s="78">
        <f t="shared" si="16"/>
        <v>681</v>
      </c>
      <c r="S249" s="74">
        <v>680</v>
      </c>
      <c r="T249" s="79"/>
      <c r="V249" s="83" t="s">
        <v>24</v>
      </c>
      <c r="X249" s="79">
        <f t="shared" si="17"/>
        <v>0</v>
      </c>
      <c r="Y249" s="80"/>
      <c r="Z249" s="82">
        <f t="shared" si="18"/>
        <v>0</v>
      </c>
      <c r="AA249" s="82">
        <f t="shared" si="19"/>
        <v>681</v>
      </c>
      <c r="AB249" s="79"/>
    </row>
    <row r="250" spans="1:28" s="83" customFormat="1" ht="15.75">
      <c r="A250" s="32">
        <v>247</v>
      </c>
      <c r="B250" s="72">
        <v>45942</v>
      </c>
      <c r="C250" s="72">
        <v>45942</v>
      </c>
      <c r="D250" s="68">
        <v>251012012</v>
      </c>
      <c r="E250" s="74" t="s">
        <v>784</v>
      </c>
      <c r="F250" s="74" t="s">
        <v>785</v>
      </c>
      <c r="G250" s="74">
        <v>43</v>
      </c>
      <c r="H250" s="52">
        <v>115</v>
      </c>
      <c r="I250" s="53" t="s">
        <v>46</v>
      </c>
      <c r="J250" s="42" t="s">
        <v>23</v>
      </c>
      <c r="K250" s="36" t="s">
        <v>38</v>
      </c>
      <c r="L250" s="76" t="s">
        <v>125</v>
      </c>
      <c r="M250" s="74" t="s">
        <v>40</v>
      </c>
      <c r="N250" s="88">
        <v>59.62</v>
      </c>
      <c r="O250" s="74">
        <v>15.66</v>
      </c>
      <c r="P250" s="77">
        <f t="shared" si="15"/>
        <v>43.959999999999994</v>
      </c>
      <c r="Q250" s="74">
        <v>315</v>
      </c>
      <c r="R250" s="78">
        <f t="shared" si="16"/>
        <v>13847.399999999998</v>
      </c>
      <c r="S250" s="74"/>
      <c r="T250" s="79"/>
      <c r="V250" s="83" t="s">
        <v>24</v>
      </c>
      <c r="W250" s="83">
        <v>145</v>
      </c>
      <c r="X250" s="79">
        <f t="shared" si="17"/>
        <v>6374.1999999999989</v>
      </c>
      <c r="Y250" s="80">
        <v>260</v>
      </c>
      <c r="Z250" s="82">
        <f t="shared" si="18"/>
        <v>11429.599999999999</v>
      </c>
      <c r="AA250" s="82">
        <f t="shared" si="19"/>
        <v>31651.199999999997</v>
      </c>
      <c r="AB250" s="79"/>
    </row>
    <row r="251" spans="1:28" s="83" customFormat="1" ht="15.75">
      <c r="A251" s="32">
        <v>248</v>
      </c>
      <c r="B251" s="72">
        <v>45942</v>
      </c>
      <c r="C251" s="72">
        <v>45942</v>
      </c>
      <c r="D251" s="68" t="s">
        <v>786</v>
      </c>
      <c r="E251" s="74" t="s">
        <v>787</v>
      </c>
      <c r="F251" s="74" t="s">
        <v>788</v>
      </c>
      <c r="G251" s="74">
        <v>35</v>
      </c>
      <c r="H251" s="52">
        <v>115</v>
      </c>
      <c r="I251" s="53" t="s">
        <v>46</v>
      </c>
      <c r="J251" s="42" t="s">
        <v>23</v>
      </c>
      <c r="K251" s="36" t="s">
        <v>38</v>
      </c>
      <c r="L251" s="76" t="s">
        <v>311</v>
      </c>
      <c r="M251" s="74" t="s">
        <v>40</v>
      </c>
      <c r="N251" s="88">
        <v>46.94</v>
      </c>
      <c r="O251" s="74">
        <v>11.56</v>
      </c>
      <c r="P251" s="77">
        <f t="shared" si="15"/>
        <v>35.379999999999995</v>
      </c>
      <c r="Q251" s="74">
        <v>315</v>
      </c>
      <c r="R251" s="78">
        <f t="shared" si="16"/>
        <v>11144.699999999999</v>
      </c>
      <c r="S251" s="74"/>
      <c r="T251" s="79"/>
      <c r="V251" s="83" t="s">
        <v>24</v>
      </c>
      <c r="W251" s="83">
        <v>145</v>
      </c>
      <c r="X251" s="79">
        <f t="shared" si="17"/>
        <v>5130.0999999999995</v>
      </c>
      <c r="Y251" s="80">
        <v>260</v>
      </c>
      <c r="Z251" s="82">
        <f t="shared" si="18"/>
        <v>9198.7999999999993</v>
      </c>
      <c r="AA251" s="82">
        <f t="shared" si="19"/>
        <v>25473.599999999999</v>
      </c>
      <c r="AB251" s="79"/>
    </row>
    <row r="252" spans="1:28" s="83" customFormat="1" ht="15.75">
      <c r="A252" s="32">
        <v>249</v>
      </c>
      <c r="B252" s="72">
        <v>45942</v>
      </c>
      <c r="C252" s="72">
        <v>45942</v>
      </c>
      <c r="D252" s="68" t="s">
        <v>789</v>
      </c>
      <c r="E252" s="74"/>
      <c r="F252" s="74"/>
      <c r="G252" s="74"/>
      <c r="H252" s="52"/>
      <c r="I252" s="53" t="s">
        <v>768</v>
      </c>
      <c r="J252" s="42" t="s">
        <v>23</v>
      </c>
      <c r="K252" s="36" t="s">
        <v>30</v>
      </c>
      <c r="L252" s="76" t="s">
        <v>771</v>
      </c>
      <c r="M252" s="74" t="s">
        <v>31</v>
      </c>
      <c r="N252" s="88">
        <v>9.6199999999999992</v>
      </c>
      <c r="O252" s="74">
        <v>3.38</v>
      </c>
      <c r="P252" s="77">
        <f t="shared" si="15"/>
        <v>6.2399999999999993</v>
      </c>
      <c r="Q252" s="74">
        <v>150</v>
      </c>
      <c r="R252" s="78">
        <f t="shared" si="16"/>
        <v>935.99999999999989</v>
      </c>
      <c r="S252" s="74">
        <v>936</v>
      </c>
      <c r="T252" s="79"/>
      <c r="V252" s="83" t="s">
        <v>24</v>
      </c>
      <c r="X252" s="79">
        <f t="shared" si="17"/>
        <v>0</v>
      </c>
      <c r="Y252" s="80"/>
      <c r="Z252" s="82">
        <f t="shared" si="18"/>
        <v>0</v>
      </c>
      <c r="AA252" s="82">
        <f t="shared" si="19"/>
        <v>935.99999999999989</v>
      </c>
      <c r="AB252" s="79"/>
    </row>
    <row r="253" spans="1:28" s="83" customFormat="1" ht="15.75">
      <c r="A253" s="32">
        <v>250</v>
      </c>
      <c r="B253" s="72">
        <v>45942</v>
      </c>
      <c r="C253" s="72">
        <v>45942</v>
      </c>
      <c r="D253" s="68" t="s">
        <v>790</v>
      </c>
      <c r="E253" s="74"/>
      <c r="F253" s="74"/>
      <c r="G253" s="74"/>
      <c r="H253" s="52"/>
      <c r="I253" s="53" t="s">
        <v>768</v>
      </c>
      <c r="J253" s="42" t="s">
        <v>23</v>
      </c>
      <c r="K253" s="36" t="s">
        <v>30</v>
      </c>
      <c r="L253" s="76" t="s">
        <v>769</v>
      </c>
      <c r="M253" s="74" t="s">
        <v>31</v>
      </c>
      <c r="N253" s="88">
        <v>9.2200000000000006</v>
      </c>
      <c r="O253" s="74">
        <v>3.24</v>
      </c>
      <c r="P253" s="77">
        <f t="shared" si="15"/>
        <v>5.98</v>
      </c>
      <c r="Q253" s="74">
        <v>150</v>
      </c>
      <c r="R253" s="78">
        <f t="shared" si="16"/>
        <v>897.00000000000011</v>
      </c>
      <c r="S253" s="74">
        <v>900</v>
      </c>
      <c r="T253" s="79"/>
      <c r="V253" s="83" t="s">
        <v>24</v>
      </c>
      <c r="X253" s="79">
        <f t="shared" si="17"/>
        <v>0</v>
      </c>
      <c r="Y253" s="80"/>
      <c r="Z253" s="82">
        <f t="shared" si="18"/>
        <v>0</v>
      </c>
      <c r="AA253" s="82">
        <f t="shared" si="19"/>
        <v>897.00000000000011</v>
      </c>
      <c r="AB253" s="79"/>
    </row>
    <row r="254" spans="1:28" s="83" customFormat="1" ht="15.75">
      <c r="A254" s="32">
        <v>251</v>
      </c>
      <c r="B254" s="72">
        <v>45942</v>
      </c>
      <c r="C254" s="72">
        <v>45942</v>
      </c>
      <c r="D254" s="68" t="s">
        <v>791</v>
      </c>
      <c r="E254" s="74"/>
      <c r="F254" s="74"/>
      <c r="G254" s="74"/>
      <c r="H254" s="52"/>
      <c r="I254" s="53" t="s">
        <v>773</v>
      </c>
      <c r="J254" s="42" t="s">
        <v>23</v>
      </c>
      <c r="K254" s="36" t="s">
        <v>30</v>
      </c>
      <c r="L254" s="76" t="s">
        <v>774</v>
      </c>
      <c r="M254" s="74" t="s">
        <v>31</v>
      </c>
      <c r="N254" s="88">
        <v>9.6</v>
      </c>
      <c r="O254" s="74">
        <v>3.54</v>
      </c>
      <c r="P254" s="77">
        <f t="shared" si="15"/>
        <v>6.06</v>
      </c>
      <c r="Q254" s="74">
        <v>150</v>
      </c>
      <c r="R254" s="78">
        <f t="shared" si="16"/>
        <v>908.99999999999989</v>
      </c>
      <c r="S254" s="74">
        <v>910</v>
      </c>
      <c r="T254" s="79"/>
      <c r="V254" s="83" t="s">
        <v>24</v>
      </c>
      <c r="X254" s="79">
        <f t="shared" si="17"/>
        <v>0</v>
      </c>
      <c r="Y254" s="80"/>
      <c r="Z254" s="82">
        <f t="shared" si="18"/>
        <v>0</v>
      </c>
      <c r="AA254" s="82">
        <f t="shared" si="19"/>
        <v>908.99999999999989</v>
      </c>
      <c r="AB254" s="79"/>
    </row>
    <row r="255" spans="1:28" s="83" customFormat="1" ht="15.75">
      <c r="A255" s="32">
        <v>252</v>
      </c>
      <c r="B255" s="72">
        <v>45942</v>
      </c>
      <c r="C255" s="72">
        <v>45942</v>
      </c>
      <c r="D255" s="68" t="s">
        <v>792</v>
      </c>
      <c r="E255" s="74"/>
      <c r="F255" s="74"/>
      <c r="G255" s="74"/>
      <c r="H255" s="52"/>
      <c r="I255" s="53" t="s">
        <v>776</v>
      </c>
      <c r="J255" s="42" t="s">
        <v>23</v>
      </c>
      <c r="K255" s="36" t="s">
        <v>30</v>
      </c>
      <c r="L255" s="76" t="s">
        <v>777</v>
      </c>
      <c r="M255" s="74" t="s">
        <v>31</v>
      </c>
      <c r="N255" s="88">
        <v>9.74</v>
      </c>
      <c r="O255" s="74">
        <v>3.46</v>
      </c>
      <c r="P255" s="77">
        <f t="shared" si="15"/>
        <v>6.28</v>
      </c>
      <c r="Q255" s="74">
        <v>150</v>
      </c>
      <c r="R255" s="78">
        <f t="shared" si="16"/>
        <v>942</v>
      </c>
      <c r="S255" s="74">
        <v>940</v>
      </c>
      <c r="T255" s="79"/>
      <c r="V255" s="83" t="s">
        <v>24</v>
      </c>
      <c r="X255" s="79">
        <f t="shared" si="17"/>
        <v>0</v>
      </c>
      <c r="Y255" s="80"/>
      <c r="Z255" s="82">
        <f t="shared" si="18"/>
        <v>0</v>
      </c>
      <c r="AA255" s="82">
        <f t="shared" si="19"/>
        <v>942</v>
      </c>
      <c r="AB255" s="79"/>
    </row>
    <row r="256" spans="1:28" s="83" customFormat="1" ht="15.75">
      <c r="A256" s="32">
        <v>253</v>
      </c>
      <c r="B256" s="72">
        <v>45942</v>
      </c>
      <c r="C256" s="72">
        <v>45942</v>
      </c>
      <c r="D256" s="68">
        <v>251012013</v>
      </c>
      <c r="E256" s="74" t="s">
        <v>793</v>
      </c>
      <c r="F256" s="74" t="s">
        <v>794</v>
      </c>
      <c r="G256" s="74">
        <v>36</v>
      </c>
      <c r="H256" s="52">
        <v>115</v>
      </c>
      <c r="I256" s="53" t="s">
        <v>46</v>
      </c>
      <c r="J256" s="42" t="s">
        <v>23</v>
      </c>
      <c r="K256" s="36" t="s">
        <v>38</v>
      </c>
      <c r="L256" s="76" t="s">
        <v>101</v>
      </c>
      <c r="M256" s="74" t="s">
        <v>55</v>
      </c>
      <c r="N256" s="88">
        <v>50.22</v>
      </c>
      <c r="O256" s="74">
        <v>11.54</v>
      </c>
      <c r="P256" s="77">
        <f t="shared" si="15"/>
        <v>38.68</v>
      </c>
      <c r="Q256" s="74">
        <v>445</v>
      </c>
      <c r="R256" s="78">
        <f t="shared" si="16"/>
        <v>17212.599999999999</v>
      </c>
      <c r="S256" s="74"/>
      <c r="T256" s="79"/>
      <c r="V256" s="83" t="s">
        <v>24</v>
      </c>
      <c r="W256" s="83">
        <v>145</v>
      </c>
      <c r="X256" s="79">
        <f t="shared" si="17"/>
        <v>5608.6</v>
      </c>
      <c r="Y256" s="80">
        <v>260</v>
      </c>
      <c r="Z256" s="82">
        <f t="shared" si="18"/>
        <v>10056.799999999999</v>
      </c>
      <c r="AA256" s="82">
        <f t="shared" si="19"/>
        <v>32878</v>
      </c>
      <c r="AB256" s="79"/>
    </row>
    <row r="257" spans="1:28" s="83" customFormat="1" ht="15.75">
      <c r="A257" s="32">
        <v>254</v>
      </c>
      <c r="B257" s="72">
        <v>45942</v>
      </c>
      <c r="C257" s="72">
        <v>45942</v>
      </c>
      <c r="D257" s="68">
        <v>251012014</v>
      </c>
      <c r="E257" s="74" t="s">
        <v>795</v>
      </c>
      <c r="F257" s="74" t="s">
        <v>796</v>
      </c>
      <c r="G257" s="74">
        <v>30</v>
      </c>
      <c r="H257" s="52">
        <v>115</v>
      </c>
      <c r="I257" s="53" t="s">
        <v>46</v>
      </c>
      <c r="J257" s="42" t="s">
        <v>23</v>
      </c>
      <c r="K257" s="36" t="s">
        <v>38</v>
      </c>
      <c r="L257" s="76" t="s">
        <v>39</v>
      </c>
      <c r="M257" s="74" t="s">
        <v>55</v>
      </c>
      <c r="N257" s="88">
        <v>43.18</v>
      </c>
      <c r="O257" s="74">
        <v>10.56</v>
      </c>
      <c r="P257" s="77">
        <f t="shared" si="15"/>
        <v>32.619999999999997</v>
      </c>
      <c r="Q257" s="74">
        <v>445</v>
      </c>
      <c r="R257" s="78">
        <f t="shared" si="16"/>
        <v>14515.9</v>
      </c>
      <c r="S257" s="74"/>
      <c r="T257" s="79"/>
      <c r="V257" s="83" t="s">
        <v>24</v>
      </c>
      <c r="W257" s="83">
        <v>145</v>
      </c>
      <c r="X257" s="79">
        <f t="shared" si="17"/>
        <v>4729.8999999999996</v>
      </c>
      <c r="Y257" s="80">
        <v>260</v>
      </c>
      <c r="Z257" s="82">
        <f t="shared" si="18"/>
        <v>8481.1999999999989</v>
      </c>
      <c r="AA257" s="82">
        <f t="shared" si="19"/>
        <v>27727</v>
      </c>
      <c r="AB257" s="79"/>
    </row>
    <row r="258" spans="1:28" s="83" customFormat="1" ht="15.75">
      <c r="A258" s="32">
        <v>255</v>
      </c>
      <c r="B258" s="72">
        <v>45942</v>
      </c>
      <c r="C258" s="72">
        <v>45942</v>
      </c>
      <c r="D258" s="68">
        <v>251012015</v>
      </c>
      <c r="E258" s="74" t="s">
        <v>797</v>
      </c>
      <c r="F258" s="74" t="s">
        <v>798</v>
      </c>
      <c r="G258" s="74">
        <v>40</v>
      </c>
      <c r="H258" s="52">
        <v>115</v>
      </c>
      <c r="I258" s="53" t="s">
        <v>46</v>
      </c>
      <c r="J258" s="42" t="s">
        <v>23</v>
      </c>
      <c r="K258" s="36" t="s">
        <v>38</v>
      </c>
      <c r="L258" s="76" t="s">
        <v>393</v>
      </c>
      <c r="M258" s="74" t="s">
        <v>48</v>
      </c>
      <c r="N258" s="88">
        <v>56.16</v>
      </c>
      <c r="O258" s="74">
        <v>14.58</v>
      </c>
      <c r="P258" s="77">
        <f t="shared" si="15"/>
        <v>41.58</v>
      </c>
      <c r="Q258" s="74">
        <v>545</v>
      </c>
      <c r="R258" s="78">
        <f t="shared" si="16"/>
        <v>22661.1</v>
      </c>
      <c r="S258" s="74"/>
      <c r="T258" s="79"/>
      <c r="V258" s="83" t="s">
        <v>24</v>
      </c>
      <c r="W258" s="83">
        <v>145</v>
      </c>
      <c r="X258" s="79">
        <f t="shared" si="17"/>
        <v>6029.0999999999995</v>
      </c>
      <c r="Y258" s="80">
        <v>260</v>
      </c>
      <c r="Z258" s="82">
        <f t="shared" si="18"/>
        <v>10810.8</v>
      </c>
      <c r="AA258" s="82">
        <f t="shared" si="19"/>
        <v>39501</v>
      </c>
      <c r="AB258" s="79"/>
    </row>
    <row r="259" spans="1:28" s="83" customFormat="1" ht="15.75">
      <c r="A259" s="32">
        <v>256</v>
      </c>
      <c r="B259" s="72">
        <v>45942</v>
      </c>
      <c r="C259" s="72">
        <v>45942</v>
      </c>
      <c r="D259" s="68">
        <v>251012016</v>
      </c>
      <c r="E259" s="74" t="s">
        <v>799</v>
      </c>
      <c r="F259" s="74" t="s">
        <v>800</v>
      </c>
      <c r="G259" s="74">
        <v>44</v>
      </c>
      <c r="H259" s="52">
        <v>115</v>
      </c>
      <c r="I259" s="53" t="s">
        <v>46</v>
      </c>
      <c r="J259" s="42" t="s">
        <v>23</v>
      </c>
      <c r="K259" s="36" t="s">
        <v>38</v>
      </c>
      <c r="L259" s="76" t="s">
        <v>82</v>
      </c>
      <c r="M259" s="74" t="s">
        <v>48</v>
      </c>
      <c r="N259" s="88">
        <v>61.84</v>
      </c>
      <c r="O259" s="74">
        <v>14.96</v>
      </c>
      <c r="P259" s="77">
        <f t="shared" si="15"/>
        <v>46.88</v>
      </c>
      <c r="Q259" s="74">
        <v>545</v>
      </c>
      <c r="R259" s="78">
        <f t="shared" si="16"/>
        <v>25549.600000000002</v>
      </c>
      <c r="S259" s="74"/>
      <c r="T259" s="79"/>
      <c r="V259" s="83" t="s">
        <v>24</v>
      </c>
      <c r="W259" s="83">
        <v>145</v>
      </c>
      <c r="X259" s="79">
        <f t="shared" si="17"/>
        <v>6797.6</v>
      </c>
      <c r="Y259" s="80">
        <v>260</v>
      </c>
      <c r="Z259" s="82">
        <f t="shared" si="18"/>
        <v>12188.800000000001</v>
      </c>
      <c r="AA259" s="82">
        <f t="shared" si="19"/>
        <v>44536.000000000007</v>
      </c>
      <c r="AB259" s="79"/>
    </row>
    <row r="260" spans="1:28" s="83" customFormat="1" ht="15.75">
      <c r="A260" s="32">
        <v>257</v>
      </c>
      <c r="B260" s="72">
        <v>45942</v>
      </c>
      <c r="C260" s="72">
        <v>45942</v>
      </c>
      <c r="D260" s="68">
        <v>251012017</v>
      </c>
      <c r="E260" s="74" t="s">
        <v>801</v>
      </c>
      <c r="F260" s="74" t="s">
        <v>802</v>
      </c>
      <c r="G260" s="74">
        <v>44</v>
      </c>
      <c r="H260" s="52">
        <v>115</v>
      </c>
      <c r="I260" s="53" t="s">
        <v>46</v>
      </c>
      <c r="J260" s="42" t="s">
        <v>23</v>
      </c>
      <c r="K260" s="36" t="s">
        <v>38</v>
      </c>
      <c r="L260" s="76" t="s">
        <v>116</v>
      </c>
      <c r="M260" s="74" t="s">
        <v>48</v>
      </c>
      <c r="N260" s="88">
        <v>61.16</v>
      </c>
      <c r="O260" s="74">
        <v>14.9</v>
      </c>
      <c r="P260" s="77">
        <f t="shared" ref="P260:P323" si="20">N260-O260</f>
        <v>46.26</v>
      </c>
      <c r="Q260" s="74">
        <v>545</v>
      </c>
      <c r="R260" s="78">
        <f t="shared" ref="R260:R323" si="21">Q260*P260</f>
        <v>25211.7</v>
      </c>
      <c r="S260" s="74"/>
      <c r="T260" s="79"/>
      <c r="V260" s="83" t="s">
        <v>24</v>
      </c>
      <c r="W260" s="83">
        <v>145</v>
      </c>
      <c r="X260" s="79">
        <f t="shared" ref="X260:X323" si="22">W260*P260</f>
        <v>6707.7</v>
      </c>
      <c r="Y260" s="80">
        <v>260</v>
      </c>
      <c r="Z260" s="82">
        <f t="shared" ref="Z260:Z323" si="23">Y260*P260</f>
        <v>12027.6</v>
      </c>
      <c r="AA260" s="82">
        <f t="shared" ref="AA260:AA323" si="24">R260+X260+Z260</f>
        <v>43947</v>
      </c>
      <c r="AB260" s="79"/>
    </row>
    <row r="261" spans="1:28" s="83" customFormat="1" ht="15.75">
      <c r="A261" s="32">
        <v>258</v>
      </c>
      <c r="B261" s="72">
        <v>45942</v>
      </c>
      <c r="C261" s="72">
        <v>45942</v>
      </c>
      <c r="D261" s="68">
        <v>251012018</v>
      </c>
      <c r="E261" s="74" t="s">
        <v>803</v>
      </c>
      <c r="F261" s="74" t="s">
        <v>804</v>
      </c>
      <c r="G261" s="74">
        <v>35</v>
      </c>
      <c r="H261" s="52">
        <v>115</v>
      </c>
      <c r="I261" s="53" t="s">
        <v>46</v>
      </c>
      <c r="J261" s="42" t="s">
        <v>23</v>
      </c>
      <c r="K261" s="36" t="s">
        <v>38</v>
      </c>
      <c r="L261" s="76" t="s">
        <v>342</v>
      </c>
      <c r="M261" s="74" t="s">
        <v>55</v>
      </c>
      <c r="N261" s="88">
        <v>49.32</v>
      </c>
      <c r="O261" s="74">
        <v>11.44</v>
      </c>
      <c r="P261" s="77">
        <f t="shared" si="20"/>
        <v>37.880000000000003</v>
      </c>
      <c r="Q261" s="74">
        <v>445</v>
      </c>
      <c r="R261" s="78">
        <f t="shared" si="21"/>
        <v>16856.600000000002</v>
      </c>
      <c r="S261" s="74"/>
      <c r="T261" s="79"/>
      <c r="V261" s="83" t="s">
        <v>24</v>
      </c>
      <c r="W261" s="83">
        <v>145</v>
      </c>
      <c r="X261" s="79">
        <f t="shared" si="22"/>
        <v>5492.6</v>
      </c>
      <c r="Y261" s="80">
        <v>260</v>
      </c>
      <c r="Z261" s="82">
        <f t="shared" si="23"/>
        <v>9848.8000000000011</v>
      </c>
      <c r="AA261" s="82">
        <f t="shared" si="24"/>
        <v>32198.000000000007</v>
      </c>
      <c r="AB261" s="79"/>
    </row>
    <row r="262" spans="1:28" s="83" customFormat="1" ht="15.75">
      <c r="A262" s="32">
        <v>259</v>
      </c>
      <c r="B262" s="72">
        <v>45942</v>
      </c>
      <c r="C262" s="72">
        <v>45942</v>
      </c>
      <c r="D262" s="68">
        <v>251012019</v>
      </c>
      <c r="E262" s="74" t="s">
        <v>805</v>
      </c>
      <c r="F262" s="74" t="s">
        <v>806</v>
      </c>
      <c r="G262" s="74">
        <v>47</v>
      </c>
      <c r="H262" s="52">
        <v>115</v>
      </c>
      <c r="I262" s="53" t="s">
        <v>46</v>
      </c>
      <c r="J262" s="42" t="s">
        <v>23</v>
      </c>
      <c r="K262" s="36" t="s">
        <v>38</v>
      </c>
      <c r="L262" s="76" t="s">
        <v>76</v>
      </c>
      <c r="M262" s="74" t="s">
        <v>48</v>
      </c>
      <c r="N262" s="88">
        <v>67.459999999999994</v>
      </c>
      <c r="O262" s="74">
        <v>18.34</v>
      </c>
      <c r="P262" s="77">
        <f t="shared" si="20"/>
        <v>49.11999999999999</v>
      </c>
      <c r="Q262" s="74">
        <v>545</v>
      </c>
      <c r="R262" s="78">
        <f t="shared" si="21"/>
        <v>26770.399999999994</v>
      </c>
      <c r="S262" s="74"/>
      <c r="T262" s="79"/>
      <c r="V262" s="83" t="s">
        <v>24</v>
      </c>
      <c r="W262" s="83">
        <v>145</v>
      </c>
      <c r="X262" s="79">
        <f t="shared" si="22"/>
        <v>7122.3999999999987</v>
      </c>
      <c r="Y262" s="80">
        <v>260</v>
      </c>
      <c r="Z262" s="82">
        <f t="shared" si="23"/>
        <v>12771.199999999997</v>
      </c>
      <c r="AA262" s="82">
        <f t="shared" si="24"/>
        <v>46663.999999999993</v>
      </c>
      <c r="AB262" s="79"/>
    </row>
    <row r="263" spans="1:28" s="83" customFormat="1" ht="15.75">
      <c r="A263" s="32">
        <v>260</v>
      </c>
      <c r="B263" s="72">
        <v>45942</v>
      </c>
      <c r="C263" s="72">
        <v>45942</v>
      </c>
      <c r="D263" s="68" t="s">
        <v>807</v>
      </c>
      <c r="E263" s="74"/>
      <c r="F263" s="74"/>
      <c r="G263" s="74"/>
      <c r="H263" s="52"/>
      <c r="I263" s="53" t="s">
        <v>808</v>
      </c>
      <c r="J263" s="42" t="s">
        <v>23</v>
      </c>
      <c r="K263" s="36" t="s">
        <v>30</v>
      </c>
      <c r="L263" s="76" t="s">
        <v>809</v>
      </c>
      <c r="M263" s="74" t="s">
        <v>31</v>
      </c>
      <c r="N263" s="88">
        <v>9.44</v>
      </c>
      <c r="O263" s="74">
        <v>3.42</v>
      </c>
      <c r="P263" s="77">
        <f t="shared" si="20"/>
        <v>6.02</v>
      </c>
      <c r="Q263" s="74">
        <v>150</v>
      </c>
      <c r="R263" s="78">
        <f t="shared" si="21"/>
        <v>902.99999999999989</v>
      </c>
      <c r="S263" s="74">
        <v>903</v>
      </c>
      <c r="T263" s="79"/>
      <c r="V263" s="83" t="s">
        <v>24</v>
      </c>
      <c r="X263" s="79">
        <f t="shared" si="22"/>
        <v>0</v>
      </c>
      <c r="Y263" s="80"/>
      <c r="Z263" s="82">
        <f t="shared" si="23"/>
        <v>0</v>
      </c>
      <c r="AA263" s="82">
        <f t="shared" si="24"/>
        <v>902.99999999999989</v>
      </c>
      <c r="AB263" s="79"/>
    </row>
    <row r="264" spans="1:28" s="83" customFormat="1" ht="15.75">
      <c r="A264" s="32">
        <v>261</v>
      </c>
      <c r="B264" s="72">
        <v>45942</v>
      </c>
      <c r="C264" s="72">
        <v>45942</v>
      </c>
      <c r="D264" s="68" t="s">
        <v>810</v>
      </c>
      <c r="E264" s="74"/>
      <c r="F264" s="74"/>
      <c r="G264" s="74"/>
      <c r="H264" s="52"/>
      <c r="I264" s="53" t="s">
        <v>773</v>
      </c>
      <c r="J264" s="42" t="s">
        <v>23</v>
      </c>
      <c r="K264" s="36" t="s">
        <v>30</v>
      </c>
      <c r="L264" s="76" t="s">
        <v>774</v>
      </c>
      <c r="M264" s="74" t="s">
        <v>31</v>
      </c>
      <c r="N264" s="88">
        <v>8.94</v>
      </c>
      <c r="O264" s="74">
        <v>3.5</v>
      </c>
      <c r="P264" s="77">
        <f t="shared" si="20"/>
        <v>5.4399999999999995</v>
      </c>
      <c r="Q264" s="74">
        <v>150</v>
      </c>
      <c r="R264" s="78">
        <f t="shared" si="21"/>
        <v>815.99999999999989</v>
      </c>
      <c r="S264" s="74">
        <v>816</v>
      </c>
      <c r="T264" s="79"/>
      <c r="V264" s="83" t="s">
        <v>24</v>
      </c>
      <c r="X264" s="79">
        <f t="shared" si="22"/>
        <v>0</v>
      </c>
      <c r="Y264" s="80"/>
      <c r="Z264" s="82">
        <f t="shared" si="23"/>
        <v>0</v>
      </c>
      <c r="AA264" s="82">
        <f t="shared" si="24"/>
        <v>815.99999999999989</v>
      </c>
      <c r="AB264" s="79"/>
    </row>
    <row r="265" spans="1:28" s="83" customFormat="1" ht="15.75">
      <c r="A265" s="32">
        <v>262</v>
      </c>
      <c r="B265" s="72">
        <v>45942</v>
      </c>
      <c r="C265" s="72">
        <v>45942</v>
      </c>
      <c r="D265" s="68" t="s">
        <v>811</v>
      </c>
      <c r="E265" s="74"/>
      <c r="F265" s="74"/>
      <c r="G265" s="74"/>
      <c r="H265" s="52"/>
      <c r="I265" s="53" t="s">
        <v>776</v>
      </c>
      <c r="J265" s="42" t="s">
        <v>23</v>
      </c>
      <c r="K265" s="36" t="s">
        <v>30</v>
      </c>
      <c r="L265" s="76" t="s">
        <v>812</v>
      </c>
      <c r="M265" s="74" t="s">
        <v>31</v>
      </c>
      <c r="N265" s="88">
        <v>8.56</v>
      </c>
      <c r="O265" s="74">
        <v>3.46</v>
      </c>
      <c r="P265" s="77">
        <f t="shared" si="20"/>
        <v>5.1000000000000005</v>
      </c>
      <c r="Q265" s="74">
        <v>150</v>
      </c>
      <c r="R265" s="78">
        <f t="shared" si="21"/>
        <v>765.00000000000011</v>
      </c>
      <c r="S265" s="74">
        <v>765</v>
      </c>
      <c r="T265" s="79"/>
      <c r="V265" s="83" t="s">
        <v>24</v>
      </c>
      <c r="X265" s="79">
        <f t="shared" si="22"/>
        <v>0</v>
      </c>
      <c r="Y265" s="80"/>
      <c r="Z265" s="82">
        <f t="shared" si="23"/>
        <v>0</v>
      </c>
      <c r="AA265" s="82">
        <f t="shared" si="24"/>
        <v>765.00000000000011</v>
      </c>
      <c r="AB265" s="79"/>
    </row>
    <row r="266" spans="1:28" s="83" customFormat="1" ht="15.75">
      <c r="A266" s="32">
        <v>263</v>
      </c>
      <c r="B266" s="72">
        <v>45942</v>
      </c>
      <c r="C266" s="72">
        <v>45942</v>
      </c>
      <c r="D266" s="68" t="s">
        <v>813</v>
      </c>
      <c r="E266" s="74"/>
      <c r="F266" s="74"/>
      <c r="G266" s="74"/>
      <c r="H266" s="52"/>
      <c r="I266" s="53" t="s">
        <v>768</v>
      </c>
      <c r="J266" s="42" t="s">
        <v>23</v>
      </c>
      <c r="K266" s="36" t="s">
        <v>30</v>
      </c>
      <c r="L266" s="76" t="s">
        <v>814</v>
      </c>
      <c r="M266" s="74" t="s">
        <v>31</v>
      </c>
      <c r="N266" s="88">
        <v>9.24</v>
      </c>
      <c r="O266" s="74">
        <v>3.38</v>
      </c>
      <c r="P266" s="77">
        <f t="shared" si="20"/>
        <v>5.86</v>
      </c>
      <c r="Q266" s="74">
        <v>150</v>
      </c>
      <c r="R266" s="78">
        <f t="shared" si="21"/>
        <v>879</v>
      </c>
      <c r="S266" s="74">
        <v>890</v>
      </c>
      <c r="T266" s="79"/>
      <c r="V266" s="83" t="s">
        <v>24</v>
      </c>
      <c r="X266" s="79">
        <f t="shared" si="22"/>
        <v>0</v>
      </c>
      <c r="Y266" s="80"/>
      <c r="Z266" s="82">
        <f t="shared" si="23"/>
        <v>0</v>
      </c>
      <c r="AA266" s="82">
        <f t="shared" si="24"/>
        <v>879</v>
      </c>
      <c r="AB266" s="79"/>
    </row>
    <row r="267" spans="1:28" s="83" customFormat="1" ht="15.75">
      <c r="A267" s="32">
        <v>264</v>
      </c>
      <c r="B267" s="72">
        <v>45942</v>
      </c>
      <c r="C267" s="72">
        <v>45942</v>
      </c>
      <c r="D267" s="68" t="s">
        <v>815</v>
      </c>
      <c r="E267" s="74"/>
      <c r="F267" s="74"/>
      <c r="G267" s="74"/>
      <c r="H267" s="52"/>
      <c r="I267" s="53" t="s">
        <v>768</v>
      </c>
      <c r="J267" s="42" t="s">
        <v>23</v>
      </c>
      <c r="K267" s="36" t="s">
        <v>30</v>
      </c>
      <c r="L267" s="76" t="s">
        <v>769</v>
      </c>
      <c r="M267" s="74" t="s">
        <v>31</v>
      </c>
      <c r="N267" s="88">
        <v>8.48</v>
      </c>
      <c r="O267" s="74">
        <v>3.28</v>
      </c>
      <c r="P267" s="77">
        <f t="shared" si="20"/>
        <v>5.2000000000000011</v>
      </c>
      <c r="Q267" s="74">
        <v>150</v>
      </c>
      <c r="R267" s="78">
        <f t="shared" si="21"/>
        <v>780.00000000000011</v>
      </c>
      <c r="S267" s="74">
        <v>780</v>
      </c>
      <c r="T267" s="79"/>
      <c r="V267" s="83" t="s">
        <v>24</v>
      </c>
      <c r="X267" s="79">
        <f t="shared" si="22"/>
        <v>0</v>
      </c>
      <c r="Y267" s="80"/>
      <c r="Z267" s="82">
        <f t="shared" si="23"/>
        <v>0</v>
      </c>
      <c r="AA267" s="82">
        <f t="shared" si="24"/>
        <v>780.00000000000011</v>
      </c>
      <c r="AB267" s="79"/>
    </row>
    <row r="268" spans="1:28" s="83" customFormat="1" ht="15.75">
      <c r="A268" s="32">
        <v>265</v>
      </c>
      <c r="B268" s="72">
        <v>45942</v>
      </c>
      <c r="C268" s="72">
        <v>45942</v>
      </c>
      <c r="D268" s="68" t="s">
        <v>816</v>
      </c>
      <c r="E268" s="74"/>
      <c r="F268" s="74"/>
      <c r="G268" s="74"/>
      <c r="H268" s="52"/>
      <c r="I268" s="53" t="s">
        <v>768</v>
      </c>
      <c r="J268" s="42" t="s">
        <v>23</v>
      </c>
      <c r="K268" s="36" t="s">
        <v>30</v>
      </c>
      <c r="L268" s="76" t="s">
        <v>771</v>
      </c>
      <c r="M268" s="74" t="s">
        <v>31</v>
      </c>
      <c r="N268" s="88">
        <v>9.3800000000000008</v>
      </c>
      <c r="O268" s="74">
        <v>3.4</v>
      </c>
      <c r="P268" s="77">
        <f t="shared" si="20"/>
        <v>5.98</v>
      </c>
      <c r="Q268" s="74">
        <v>150</v>
      </c>
      <c r="R268" s="78">
        <f t="shared" si="21"/>
        <v>897.00000000000011</v>
      </c>
      <c r="S268" s="74">
        <v>900</v>
      </c>
      <c r="T268" s="79"/>
      <c r="V268" s="83" t="s">
        <v>24</v>
      </c>
      <c r="X268" s="79">
        <f t="shared" si="22"/>
        <v>0</v>
      </c>
      <c r="Y268" s="80"/>
      <c r="Z268" s="82">
        <f t="shared" si="23"/>
        <v>0</v>
      </c>
      <c r="AA268" s="82">
        <f t="shared" si="24"/>
        <v>897.00000000000011</v>
      </c>
      <c r="AB268" s="79"/>
    </row>
    <row r="269" spans="1:28" s="83" customFormat="1" ht="15.75">
      <c r="A269" s="32">
        <v>266</v>
      </c>
      <c r="B269" s="72">
        <v>45942</v>
      </c>
      <c r="C269" s="72">
        <v>45942</v>
      </c>
      <c r="D269" s="68" t="s">
        <v>817</v>
      </c>
      <c r="E269" s="74"/>
      <c r="F269" s="74"/>
      <c r="G269" s="74"/>
      <c r="H269" s="52"/>
      <c r="I269" s="53" t="s">
        <v>808</v>
      </c>
      <c r="J269" s="42" t="s">
        <v>23</v>
      </c>
      <c r="K269" s="36" t="s">
        <v>30</v>
      </c>
      <c r="L269" s="76" t="s">
        <v>818</v>
      </c>
      <c r="M269" s="74" t="s">
        <v>31</v>
      </c>
      <c r="N269" s="88">
        <v>8.84</v>
      </c>
      <c r="O269" s="74">
        <v>3.46</v>
      </c>
      <c r="P269" s="77">
        <f t="shared" si="20"/>
        <v>5.38</v>
      </c>
      <c r="Q269" s="74">
        <v>150</v>
      </c>
      <c r="R269" s="78">
        <f t="shared" si="21"/>
        <v>807</v>
      </c>
      <c r="S269" s="74">
        <v>810</v>
      </c>
      <c r="T269" s="79"/>
      <c r="V269" s="83" t="s">
        <v>24</v>
      </c>
      <c r="X269" s="79">
        <f t="shared" si="22"/>
        <v>0</v>
      </c>
      <c r="Y269" s="80"/>
      <c r="Z269" s="82">
        <f t="shared" si="23"/>
        <v>0</v>
      </c>
      <c r="AA269" s="82">
        <f t="shared" si="24"/>
        <v>807</v>
      </c>
      <c r="AB269" s="79"/>
    </row>
    <row r="270" spans="1:28" s="83" customFormat="1" ht="15.75">
      <c r="A270" s="32">
        <v>267</v>
      </c>
      <c r="B270" s="72">
        <v>45942</v>
      </c>
      <c r="C270" s="72">
        <v>45942</v>
      </c>
      <c r="D270" s="68" t="s">
        <v>819</v>
      </c>
      <c r="E270" s="74"/>
      <c r="F270" s="74"/>
      <c r="G270" s="74"/>
      <c r="H270" s="52"/>
      <c r="I270" s="53" t="s">
        <v>773</v>
      </c>
      <c r="J270" s="42" t="s">
        <v>23</v>
      </c>
      <c r="K270" s="36" t="s">
        <v>30</v>
      </c>
      <c r="L270" s="76" t="s">
        <v>774</v>
      </c>
      <c r="M270" s="74" t="s">
        <v>31</v>
      </c>
      <c r="N270" s="88">
        <v>9.2799999999999994</v>
      </c>
      <c r="O270" s="74">
        <v>3.76</v>
      </c>
      <c r="P270" s="77">
        <f t="shared" si="20"/>
        <v>5.52</v>
      </c>
      <c r="Q270" s="74">
        <v>150</v>
      </c>
      <c r="R270" s="78">
        <f t="shared" si="21"/>
        <v>827.99999999999989</v>
      </c>
      <c r="S270" s="74">
        <v>830</v>
      </c>
      <c r="T270" s="79"/>
      <c r="V270" s="83" t="s">
        <v>24</v>
      </c>
      <c r="X270" s="79">
        <f t="shared" si="22"/>
        <v>0</v>
      </c>
      <c r="Y270" s="80"/>
      <c r="Z270" s="82">
        <f t="shared" si="23"/>
        <v>0</v>
      </c>
      <c r="AA270" s="82">
        <f t="shared" si="24"/>
        <v>827.99999999999989</v>
      </c>
      <c r="AB270" s="79"/>
    </row>
    <row r="271" spans="1:28" s="83" customFormat="1" ht="15.75">
      <c r="A271" s="32">
        <v>268</v>
      </c>
      <c r="B271" s="72">
        <v>45942</v>
      </c>
      <c r="C271" s="72">
        <v>45942</v>
      </c>
      <c r="D271" s="68" t="s">
        <v>820</v>
      </c>
      <c r="E271" s="74"/>
      <c r="F271" s="74"/>
      <c r="G271" s="74"/>
      <c r="H271" s="52"/>
      <c r="I271" s="53" t="s">
        <v>776</v>
      </c>
      <c r="J271" s="42" t="s">
        <v>23</v>
      </c>
      <c r="K271" s="36" t="s">
        <v>30</v>
      </c>
      <c r="L271" s="76" t="s">
        <v>812</v>
      </c>
      <c r="M271" s="74" t="s">
        <v>31</v>
      </c>
      <c r="N271" s="88">
        <v>9.2799999999999994</v>
      </c>
      <c r="O271" s="74">
        <v>3.56</v>
      </c>
      <c r="P271" s="77">
        <f t="shared" si="20"/>
        <v>5.7199999999999989</v>
      </c>
      <c r="Q271" s="74">
        <v>150</v>
      </c>
      <c r="R271" s="78">
        <f t="shared" si="21"/>
        <v>857.99999999999977</v>
      </c>
      <c r="S271" s="74">
        <v>860</v>
      </c>
      <c r="T271" s="79"/>
      <c r="V271" s="83" t="s">
        <v>24</v>
      </c>
      <c r="X271" s="79">
        <f t="shared" si="22"/>
        <v>0</v>
      </c>
      <c r="Y271" s="80"/>
      <c r="Z271" s="82">
        <f t="shared" si="23"/>
        <v>0</v>
      </c>
      <c r="AA271" s="82">
        <f t="shared" si="24"/>
        <v>857.99999999999977</v>
      </c>
      <c r="AB271" s="79"/>
    </row>
    <row r="272" spans="1:28" s="83" customFormat="1" ht="15.75">
      <c r="A272" s="32">
        <v>269</v>
      </c>
      <c r="B272" s="72">
        <v>45942</v>
      </c>
      <c r="C272" s="72">
        <v>45942</v>
      </c>
      <c r="D272" s="68" t="s">
        <v>821</v>
      </c>
      <c r="E272" s="74"/>
      <c r="F272" s="74"/>
      <c r="G272" s="74"/>
      <c r="H272" s="52"/>
      <c r="I272" s="53" t="s">
        <v>822</v>
      </c>
      <c r="J272" s="42" t="s">
        <v>23</v>
      </c>
      <c r="K272" s="36" t="s">
        <v>30</v>
      </c>
      <c r="L272" s="76" t="s">
        <v>823</v>
      </c>
      <c r="M272" s="74" t="s">
        <v>31</v>
      </c>
      <c r="N272" s="88">
        <v>9.34</v>
      </c>
      <c r="O272" s="74">
        <v>3.42</v>
      </c>
      <c r="P272" s="77">
        <f t="shared" si="20"/>
        <v>5.92</v>
      </c>
      <c r="Q272" s="74">
        <v>150</v>
      </c>
      <c r="R272" s="78">
        <f t="shared" si="21"/>
        <v>888</v>
      </c>
      <c r="S272" s="74">
        <v>890</v>
      </c>
      <c r="T272" s="79"/>
      <c r="V272" s="83" t="s">
        <v>24</v>
      </c>
      <c r="X272" s="79">
        <f t="shared" si="22"/>
        <v>0</v>
      </c>
      <c r="Y272" s="80"/>
      <c r="Z272" s="82">
        <f t="shared" si="23"/>
        <v>0</v>
      </c>
      <c r="AA272" s="82">
        <f t="shared" si="24"/>
        <v>888</v>
      </c>
      <c r="AB272" s="79"/>
    </row>
    <row r="273" spans="1:28" s="83" customFormat="1" ht="15.75">
      <c r="A273" s="32">
        <v>270</v>
      </c>
      <c r="B273" s="72">
        <v>45942</v>
      </c>
      <c r="C273" s="72">
        <v>45942</v>
      </c>
      <c r="D273" s="68" t="s">
        <v>824</v>
      </c>
      <c r="E273" s="74"/>
      <c r="F273" s="74"/>
      <c r="G273" s="74"/>
      <c r="H273" s="52"/>
      <c r="I273" s="53" t="s">
        <v>768</v>
      </c>
      <c r="J273" s="42" t="s">
        <v>23</v>
      </c>
      <c r="K273" s="36" t="s">
        <v>30</v>
      </c>
      <c r="L273" s="76" t="s">
        <v>825</v>
      </c>
      <c r="M273" s="74" t="s">
        <v>31</v>
      </c>
      <c r="N273" s="88">
        <v>9.58</v>
      </c>
      <c r="O273" s="74">
        <v>3.42</v>
      </c>
      <c r="P273" s="77">
        <f t="shared" si="20"/>
        <v>6.16</v>
      </c>
      <c r="Q273" s="74">
        <v>150</v>
      </c>
      <c r="R273" s="78">
        <f t="shared" si="21"/>
        <v>924</v>
      </c>
      <c r="S273" s="74">
        <v>930</v>
      </c>
      <c r="T273" s="79"/>
      <c r="V273" s="83" t="s">
        <v>24</v>
      </c>
      <c r="X273" s="79">
        <f t="shared" si="22"/>
        <v>0</v>
      </c>
      <c r="Y273" s="80"/>
      <c r="Z273" s="82">
        <f t="shared" si="23"/>
        <v>0</v>
      </c>
      <c r="AA273" s="82">
        <f t="shared" si="24"/>
        <v>924</v>
      </c>
      <c r="AB273" s="79"/>
    </row>
    <row r="274" spans="1:28" s="83" customFormat="1" ht="15.75">
      <c r="A274" s="32">
        <v>271</v>
      </c>
      <c r="B274" s="72">
        <v>45942</v>
      </c>
      <c r="C274" s="72">
        <v>45942</v>
      </c>
      <c r="D274" s="68" t="s">
        <v>826</v>
      </c>
      <c r="E274" s="74"/>
      <c r="F274" s="74"/>
      <c r="G274" s="74"/>
      <c r="H274" s="52"/>
      <c r="I274" s="53" t="s">
        <v>768</v>
      </c>
      <c r="J274" s="42" t="s">
        <v>23</v>
      </c>
      <c r="K274" s="36" t="s">
        <v>30</v>
      </c>
      <c r="L274" s="76" t="s">
        <v>769</v>
      </c>
      <c r="M274" s="74" t="s">
        <v>31</v>
      </c>
      <c r="N274" s="88">
        <v>9.42</v>
      </c>
      <c r="O274" s="74">
        <v>3.26</v>
      </c>
      <c r="P274" s="77">
        <f t="shared" si="20"/>
        <v>6.16</v>
      </c>
      <c r="Q274" s="74">
        <v>150</v>
      </c>
      <c r="R274" s="78">
        <f t="shared" si="21"/>
        <v>924</v>
      </c>
      <c r="S274" s="74">
        <v>930</v>
      </c>
      <c r="T274" s="79"/>
      <c r="V274" s="83" t="s">
        <v>24</v>
      </c>
      <c r="X274" s="79">
        <f t="shared" si="22"/>
        <v>0</v>
      </c>
      <c r="Y274" s="80"/>
      <c r="Z274" s="82">
        <f t="shared" si="23"/>
        <v>0</v>
      </c>
      <c r="AA274" s="82">
        <f t="shared" si="24"/>
        <v>924</v>
      </c>
      <c r="AB274" s="79"/>
    </row>
    <row r="275" spans="1:28" s="83" customFormat="1" ht="15.75">
      <c r="A275" s="32">
        <v>272</v>
      </c>
      <c r="B275" s="72">
        <v>45942</v>
      </c>
      <c r="C275" s="72">
        <v>45942</v>
      </c>
      <c r="D275" s="68">
        <v>251012020</v>
      </c>
      <c r="E275" s="74" t="s">
        <v>827</v>
      </c>
      <c r="F275" s="74" t="s">
        <v>828</v>
      </c>
      <c r="G275" s="74">
        <v>43</v>
      </c>
      <c r="H275" s="52">
        <v>115</v>
      </c>
      <c r="I275" s="53" t="s">
        <v>46</v>
      </c>
      <c r="J275" s="42" t="s">
        <v>23</v>
      </c>
      <c r="K275" s="36" t="s">
        <v>38</v>
      </c>
      <c r="L275" s="76" t="s">
        <v>198</v>
      </c>
      <c r="M275" s="74" t="s">
        <v>48</v>
      </c>
      <c r="N275" s="88">
        <v>61.06</v>
      </c>
      <c r="O275" s="74">
        <v>15.82</v>
      </c>
      <c r="P275" s="77">
        <f t="shared" si="20"/>
        <v>45.24</v>
      </c>
      <c r="Q275" s="74">
        <v>545</v>
      </c>
      <c r="R275" s="78">
        <f t="shared" si="21"/>
        <v>24655.8</v>
      </c>
      <c r="S275" s="74"/>
      <c r="T275" s="79"/>
      <c r="V275" s="83" t="s">
        <v>24</v>
      </c>
      <c r="W275" s="83">
        <v>145</v>
      </c>
      <c r="X275" s="79">
        <f t="shared" si="22"/>
        <v>6559.8</v>
      </c>
      <c r="Y275" s="80">
        <v>260</v>
      </c>
      <c r="Z275" s="82">
        <f t="shared" si="23"/>
        <v>11762.4</v>
      </c>
      <c r="AA275" s="82">
        <f t="shared" si="24"/>
        <v>42978</v>
      </c>
      <c r="AB275" s="79"/>
    </row>
    <row r="276" spans="1:28" s="83" customFormat="1" ht="15.75">
      <c r="A276" s="32">
        <v>273</v>
      </c>
      <c r="B276" s="72">
        <v>45942</v>
      </c>
      <c r="C276" s="72">
        <v>45942</v>
      </c>
      <c r="D276" s="68">
        <v>251012021</v>
      </c>
      <c r="E276" s="74" t="s">
        <v>829</v>
      </c>
      <c r="F276" s="74" t="s">
        <v>830</v>
      </c>
      <c r="G276" s="74">
        <v>45</v>
      </c>
      <c r="H276" s="52">
        <v>115</v>
      </c>
      <c r="I276" s="53" t="s">
        <v>46</v>
      </c>
      <c r="J276" s="42" t="s">
        <v>23</v>
      </c>
      <c r="K276" s="36" t="s">
        <v>38</v>
      </c>
      <c r="L276" s="76" t="s">
        <v>516</v>
      </c>
      <c r="M276" s="74" t="s">
        <v>48</v>
      </c>
      <c r="N276" s="88">
        <v>65.680000000000007</v>
      </c>
      <c r="O276" s="74">
        <v>18.22</v>
      </c>
      <c r="P276" s="77">
        <f t="shared" si="20"/>
        <v>47.460000000000008</v>
      </c>
      <c r="Q276" s="74">
        <v>545</v>
      </c>
      <c r="R276" s="78">
        <f t="shared" si="21"/>
        <v>25865.700000000004</v>
      </c>
      <c r="S276" s="74"/>
      <c r="T276" s="79"/>
      <c r="V276" s="83" t="s">
        <v>24</v>
      </c>
      <c r="W276" s="83">
        <v>145</v>
      </c>
      <c r="X276" s="79">
        <f t="shared" si="22"/>
        <v>6881.7000000000007</v>
      </c>
      <c r="Y276" s="80">
        <v>260</v>
      </c>
      <c r="Z276" s="82">
        <f t="shared" si="23"/>
        <v>12339.600000000002</v>
      </c>
      <c r="AA276" s="82">
        <f t="shared" si="24"/>
        <v>45087.000000000007</v>
      </c>
      <c r="AB276" s="79"/>
    </row>
    <row r="277" spans="1:28" s="83" customFormat="1" ht="15.75">
      <c r="A277" s="32">
        <v>274</v>
      </c>
      <c r="B277" s="72">
        <v>45942</v>
      </c>
      <c r="C277" s="72">
        <v>45942</v>
      </c>
      <c r="D277" s="68">
        <v>251012022</v>
      </c>
      <c r="E277" s="74" t="s">
        <v>831</v>
      </c>
      <c r="F277" s="74" t="s">
        <v>832</v>
      </c>
      <c r="G277" s="74">
        <v>48</v>
      </c>
      <c r="H277" s="52">
        <v>115</v>
      </c>
      <c r="I277" s="53" t="s">
        <v>46</v>
      </c>
      <c r="J277" s="42" t="s">
        <v>23</v>
      </c>
      <c r="K277" s="36" t="s">
        <v>38</v>
      </c>
      <c r="L277" s="76" t="s">
        <v>47</v>
      </c>
      <c r="M277" s="74" t="s">
        <v>55</v>
      </c>
      <c r="N277" s="88">
        <v>65.86</v>
      </c>
      <c r="O277" s="74">
        <v>15.78</v>
      </c>
      <c r="P277" s="77">
        <f t="shared" si="20"/>
        <v>50.08</v>
      </c>
      <c r="Q277" s="74">
        <v>445</v>
      </c>
      <c r="R277" s="78">
        <f t="shared" si="21"/>
        <v>22285.599999999999</v>
      </c>
      <c r="S277" s="74"/>
      <c r="T277" s="79"/>
      <c r="V277" s="83" t="s">
        <v>24</v>
      </c>
      <c r="W277" s="83">
        <v>145</v>
      </c>
      <c r="X277" s="79">
        <f t="shared" si="22"/>
        <v>7261.5999999999995</v>
      </c>
      <c r="Y277" s="80">
        <v>260</v>
      </c>
      <c r="Z277" s="82">
        <f t="shared" si="23"/>
        <v>13020.8</v>
      </c>
      <c r="AA277" s="82">
        <f t="shared" si="24"/>
        <v>42568</v>
      </c>
      <c r="AB277" s="79"/>
    </row>
    <row r="278" spans="1:28" s="83" customFormat="1" ht="15.75">
      <c r="A278" s="32">
        <v>275</v>
      </c>
      <c r="B278" s="72">
        <v>45942</v>
      </c>
      <c r="C278" s="72">
        <v>45942</v>
      </c>
      <c r="D278" s="68">
        <v>251012023</v>
      </c>
      <c r="E278" s="74" t="s">
        <v>833</v>
      </c>
      <c r="F278" s="74" t="s">
        <v>834</v>
      </c>
      <c r="G278" s="74">
        <v>38</v>
      </c>
      <c r="H278" s="52">
        <v>115</v>
      </c>
      <c r="I278" s="53" t="s">
        <v>46</v>
      </c>
      <c r="J278" s="42" t="s">
        <v>23</v>
      </c>
      <c r="K278" s="36" t="s">
        <v>38</v>
      </c>
      <c r="L278" s="76" t="s">
        <v>70</v>
      </c>
      <c r="M278" s="74" t="s">
        <v>55</v>
      </c>
      <c r="N278" s="88">
        <v>52.62</v>
      </c>
      <c r="O278" s="74">
        <v>12.12</v>
      </c>
      <c r="P278" s="77">
        <f t="shared" si="20"/>
        <v>40.5</v>
      </c>
      <c r="Q278" s="74">
        <v>445</v>
      </c>
      <c r="R278" s="78">
        <f t="shared" si="21"/>
        <v>18022.5</v>
      </c>
      <c r="S278" s="74"/>
      <c r="T278" s="79"/>
      <c r="V278" s="83" t="s">
        <v>24</v>
      </c>
      <c r="W278" s="83">
        <v>145</v>
      </c>
      <c r="X278" s="79">
        <f t="shared" si="22"/>
        <v>5872.5</v>
      </c>
      <c r="Y278" s="80">
        <v>260</v>
      </c>
      <c r="Z278" s="82">
        <f t="shared" si="23"/>
        <v>10530</v>
      </c>
      <c r="AA278" s="82">
        <f t="shared" si="24"/>
        <v>34425</v>
      </c>
      <c r="AB278" s="79"/>
    </row>
    <row r="279" spans="1:28" s="83" customFormat="1" ht="15.75">
      <c r="A279" s="32">
        <v>276</v>
      </c>
      <c r="B279" s="72">
        <v>45942</v>
      </c>
      <c r="C279" s="72">
        <v>45942</v>
      </c>
      <c r="D279" s="68">
        <v>251012025</v>
      </c>
      <c r="E279" s="74" t="s">
        <v>835</v>
      </c>
      <c r="F279" s="74" t="s">
        <v>836</v>
      </c>
      <c r="G279" s="74">
        <v>40</v>
      </c>
      <c r="H279" s="52">
        <v>115</v>
      </c>
      <c r="I279" s="53" t="s">
        <v>46</v>
      </c>
      <c r="J279" s="42" t="s">
        <v>23</v>
      </c>
      <c r="K279" s="36" t="s">
        <v>38</v>
      </c>
      <c r="L279" s="76" t="s">
        <v>67</v>
      </c>
      <c r="M279" s="74" t="s">
        <v>40</v>
      </c>
      <c r="N279" s="88">
        <v>58.24</v>
      </c>
      <c r="O279" s="74">
        <v>15.74</v>
      </c>
      <c r="P279" s="77">
        <f t="shared" si="20"/>
        <v>42.5</v>
      </c>
      <c r="Q279" s="74">
        <v>315</v>
      </c>
      <c r="R279" s="78">
        <f t="shared" si="21"/>
        <v>13387.5</v>
      </c>
      <c r="S279" s="74"/>
      <c r="T279" s="79"/>
      <c r="V279" s="83" t="s">
        <v>24</v>
      </c>
      <c r="W279" s="83">
        <v>145</v>
      </c>
      <c r="X279" s="79">
        <f t="shared" si="22"/>
        <v>6162.5</v>
      </c>
      <c r="Y279" s="80">
        <v>260</v>
      </c>
      <c r="Z279" s="82">
        <f t="shared" si="23"/>
        <v>11050</v>
      </c>
      <c r="AA279" s="82">
        <f t="shared" si="24"/>
        <v>30600</v>
      </c>
      <c r="AB279" s="79"/>
    </row>
    <row r="280" spans="1:28" s="83" customFormat="1" ht="15.75">
      <c r="A280" s="32">
        <v>277</v>
      </c>
      <c r="B280" s="72">
        <v>45943</v>
      </c>
      <c r="C280" s="72">
        <v>45943</v>
      </c>
      <c r="D280" s="68" t="s">
        <v>837</v>
      </c>
      <c r="E280" s="74"/>
      <c r="F280" s="74"/>
      <c r="G280" s="74"/>
      <c r="H280" s="52"/>
      <c r="I280" s="53" t="s">
        <v>838</v>
      </c>
      <c r="J280" s="42" t="s">
        <v>23</v>
      </c>
      <c r="K280" s="36" t="s">
        <v>30</v>
      </c>
      <c r="L280" s="76" t="s">
        <v>34</v>
      </c>
      <c r="M280" s="74" t="s">
        <v>31</v>
      </c>
      <c r="N280" s="88">
        <v>19.920000000000002</v>
      </c>
      <c r="O280" s="74">
        <v>7.24</v>
      </c>
      <c r="P280" s="77">
        <f t="shared" si="20"/>
        <v>12.680000000000001</v>
      </c>
      <c r="Q280" s="74">
        <v>150</v>
      </c>
      <c r="R280" s="78">
        <f t="shared" si="21"/>
        <v>1902.0000000000002</v>
      </c>
      <c r="S280" s="74">
        <v>1902</v>
      </c>
      <c r="T280" s="79"/>
      <c r="V280" s="83" t="s">
        <v>24</v>
      </c>
      <c r="X280" s="83">
        <f t="shared" si="22"/>
        <v>0</v>
      </c>
      <c r="Y280" s="79"/>
      <c r="Z280" s="80">
        <f t="shared" si="23"/>
        <v>0</v>
      </c>
      <c r="AA280" s="82">
        <f t="shared" si="24"/>
        <v>1902.0000000000002</v>
      </c>
      <c r="AB280" s="79"/>
    </row>
    <row r="281" spans="1:28" s="83" customFormat="1" ht="15.75">
      <c r="A281" s="32">
        <v>278</v>
      </c>
      <c r="B281" s="72">
        <v>45944</v>
      </c>
      <c r="C281" s="72">
        <v>45944</v>
      </c>
      <c r="D281" s="68" t="s">
        <v>839</v>
      </c>
      <c r="E281" s="74"/>
      <c r="F281" s="74"/>
      <c r="G281" s="74"/>
      <c r="H281" s="52"/>
      <c r="I281" s="53" t="s">
        <v>607</v>
      </c>
      <c r="J281" s="42" t="s">
        <v>23</v>
      </c>
      <c r="K281" s="36" t="s">
        <v>30</v>
      </c>
      <c r="L281" s="76" t="s">
        <v>608</v>
      </c>
      <c r="M281" s="74" t="s">
        <v>31</v>
      </c>
      <c r="N281" s="88">
        <v>8.76</v>
      </c>
      <c r="O281" s="74">
        <v>3.34</v>
      </c>
      <c r="P281" s="77">
        <f t="shared" si="20"/>
        <v>5.42</v>
      </c>
      <c r="Q281" s="74">
        <v>150</v>
      </c>
      <c r="R281" s="78">
        <f t="shared" si="21"/>
        <v>813</v>
      </c>
      <c r="S281" s="74">
        <v>813</v>
      </c>
      <c r="T281" s="79"/>
      <c r="V281" s="83" t="s">
        <v>24</v>
      </c>
      <c r="X281" s="83">
        <f t="shared" si="22"/>
        <v>0</v>
      </c>
      <c r="Z281" s="79">
        <f t="shared" si="23"/>
        <v>0</v>
      </c>
      <c r="AA281" s="80">
        <f t="shared" si="24"/>
        <v>813</v>
      </c>
      <c r="AB281" s="79"/>
    </row>
    <row r="282" spans="1:28" s="83" customFormat="1" ht="15.75">
      <c r="A282" s="32">
        <v>279</v>
      </c>
      <c r="B282" s="72">
        <v>45944</v>
      </c>
      <c r="C282" s="72">
        <v>45944</v>
      </c>
      <c r="D282" s="68">
        <v>251014001</v>
      </c>
      <c r="E282" s="74" t="s">
        <v>840</v>
      </c>
      <c r="F282" s="74" t="s">
        <v>841</v>
      </c>
      <c r="G282" s="74">
        <v>45</v>
      </c>
      <c r="H282" s="52">
        <v>24</v>
      </c>
      <c r="I282" s="53" t="s">
        <v>37</v>
      </c>
      <c r="J282" s="42" t="s">
        <v>23</v>
      </c>
      <c r="K282" s="36" t="s">
        <v>38</v>
      </c>
      <c r="L282" s="76" t="s">
        <v>64</v>
      </c>
      <c r="M282" s="74" t="s">
        <v>40</v>
      </c>
      <c r="N282" s="88">
        <v>62.58</v>
      </c>
      <c r="O282" s="74">
        <v>16.34</v>
      </c>
      <c r="P282" s="77">
        <f t="shared" si="20"/>
        <v>46.239999999999995</v>
      </c>
      <c r="Q282" s="74">
        <v>335</v>
      </c>
      <c r="R282" s="78">
        <f t="shared" si="21"/>
        <v>15490.399999999998</v>
      </c>
      <c r="S282" s="74"/>
      <c r="T282" s="79"/>
      <c r="V282" s="83" t="s">
        <v>24</v>
      </c>
      <c r="W282" s="83">
        <v>145</v>
      </c>
      <c r="X282" s="83">
        <f t="shared" si="22"/>
        <v>6704.7999999999993</v>
      </c>
      <c r="Y282" s="83">
        <v>260</v>
      </c>
      <c r="Z282" s="79">
        <f t="shared" si="23"/>
        <v>12022.399999999998</v>
      </c>
      <c r="AA282" s="80">
        <f t="shared" si="24"/>
        <v>34217.599999999991</v>
      </c>
      <c r="AB282" s="79"/>
    </row>
    <row r="283" spans="1:28" s="83" customFormat="1" ht="15.75">
      <c r="A283" s="32">
        <v>280</v>
      </c>
      <c r="B283" s="72">
        <v>45944</v>
      </c>
      <c r="C283" s="72">
        <v>45944</v>
      </c>
      <c r="D283" s="68">
        <v>251014002</v>
      </c>
      <c r="E283" s="74" t="s">
        <v>842</v>
      </c>
      <c r="F283" s="74" t="s">
        <v>843</v>
      </c>
      <c r="G283" s="74">
        <v>40</v>
      </c>
      <c r="H283" s="52">
        <v>24</v>
      </c>
      <c r="I283" s="53" t="s">
        <v>37</v>
      </c>
      <c r="J283" s="42" t="s">
        <v>23</v>
      </c>
      <c r="K283" s="36" t="s">
        <v>38</v>
      </c>
      <c r="L283" s="76" t="s">
        <v>122</v>
      </c>
      <c r="M283" s="74" t="s">
        <v>40</v>
      </c>
      <c r="N283" s="88">
        <v>58.06</v>
      </c>
      <c r="O283" s="74">
        <v>15.96</v>
      </c>
      <c r="P283" s="77">
        <f t="shared" si="20"/>
        <v>42.1</v>
      </c>
      <c r="Q283" s="74">
        <v>335</v>
      </c>
      <c r="R283" s="78">
        <f t="shared" si="21"/>
        <v>14103.5</v>
      </c>
      <c r="S283" s="74"/>
      <c r="T283" s="79"/>
      <c r="V283" s="83" t="s">
        <v>24</v>
      </c>
      <c r="W283" s="83">
        <v>145</v>
      </c>
      <c r="X283" s="83">
        <f t="shared" si="22"/>
        <v>6104.5</v>
      </c>
      <c r="Y283" s="83">
        <v>260</v>
      </c>
      <c r="Z283" s="79">
        <f t="shared" si="23"/>
        <v>10946</v>
      </c>
      <c r="AA283" s="80">
        <f t="shared" si="24"/>
        <v>31154</v>
      </c>
      <c r="AB283" s="79"/>
    </row>
    <row r="284" spans="1:28" s="83" customFormat="1" ht="15.75">
      <c r="A284" s="32">
        <v>281</v>
      </c>
      <c r="B284" s="72">
        <v>45944</v>
      </c>
      <c r="C284" s="72">
        <v>45944</v>
      </c>
      <c r="D284" s="68">
        <v>251014003</v>
      </c>
      <c r="E284" s="74" t="s">
        <v>844</v>
      </c>
      <c r="F284" s="74" t="s">
        <v>845</v>
      </c>
      <c r="G284" s="74">
        <v>32</v>
      </c>
      <c r="H284" s="52">
        <v>117</v>
      </c>
      <c r="I284" s="53" t="s">
        <v>106</v>
      </c>
      <c r="J284" s="42" t="s">
        <v>23</v>
      </c>
      <c r="K284" s="36" t="s">
        <v>38</v>
      </c>
      <c r="L284" s="76" t="s">
        <v>149</v>
      </c>
      <c r="M284" s="74" t="s">
        <v>40</v>
      </c>
      <c r="N284" s="88">
        <v>46.64</v>
      </c>
      <c r="O284" s="74">
        <v>12.64</v>
      </c>
      <c r="P284" s="77">
        <f t="shared" si="20"/>
        <v>34</v>
      </c>
      <c r="Q284" s="74">
        <v>335</v>
      </c>
      <c r="R284" s="78">
        <f t="shared" si="21"/>
        <v>11390</v>
      </c>
      <c r="S284" s="74"/>
      <c r="T284" s="79"/>
      <c r="V284" s="83" t="s">
        <v>24</v>
      </c>
      <c r="W284" s="83">
        <v>145</v>
      </c>
      <c r="X284" s="83">
        <f t="shared" si="22"/>
        <v>4930</v>
      </c>
      <c r="Y284" s="83">
        <v>230</v>
      </c>
      <c r="Z284" s="79">
        <f t="shared" si="23"/>
        <v>7820</v>
      </c>
      <c r="AA284" s="80">
        <f t="shared" si="24"/>
        <v>24140</v>
      </c>
      <c r="AB284" s="79"/>
    </row>
    <row r="285" spans="1:28" s="83" customFormat="1" ht="15.75">
      <c r="A285" s="32">
        <v>282</v>
      </c>
      <c r="B285" s="72">
        <v>45944</v>
      </c>
      <c r="C285" s="72">
        <v>45944</v>
      </c>
      <c r="D285" s="68">
        <v>251014004</v>
      </c>
      <c r="E285" s="74" t="s">
        <v>846</v>
      </c>
      <c r="F285" s="74" t="s">
        <v>847</v>
      </c>
      <c r="G285" s="74">
        <v>30</v>
      </c>
      <c r="H285" s="52">
        <v>24</v>
      </c>
      <c r="I285" s="53" t="s">
        <v>37</v>
      </c>
      <c r="J285" s="42" t="s">
        <v>23</v>
      </c>
      <c r="K285" s="36" t="s">
        <v>38</v>
      </c>
      <c r="L285" s="76" t="s">
        <v>98</v>
      </c>
      <c r="M285" s="74" t="s">
        <v>40</v>
      </c>
      <c r="N285" s="88">
        <v>43.66</v>
      </c>
      <c r="O285" s="74">
        <v>11.8</v>
      </c>
      <c r="P285" s="77">
        <f t="shared" si="20"/>
        <v>31.859999999999996</v>
      </c>
      <c r="Q285" s="74">
        <v>335</v>
      </c>
      <c r="R285" s="78">
        <f t="shared" si="21"/>
        <v>10673.099999999999</v>
      </c>
      <c r="S285" s="74"/>
      <c r="T285" s="79"/>
      <c r="V285" s="83" t="s">
        <v>24</v>
      </c>
      <c r="W285" s="83">
        <v>145</v>
      </c>
      <c r="X285" s="83">
        <f t="shared" si="22"/>
        <v>4619.7</v>
      </c>
      <c r="Y285" s="83">
        <v>260</v>
      </c>
      <c r="Z285" s="79">
        <f t="shared" si="23"/>
        <v>8283.5999999999985</v>
      </c>
      <c r="AA285" s="80">
        <f t="shared" si="24"/>
        <v>23576.399999999998</v>
      </c>
      <c r="AB285" s="79"/>
    </row>
    <row r="286" spans="1:28" s="83" customFormat="1" ht="15.75">
      <c r="A286" s="32">
        <v>283</v>
      </c>
      <c r="B286" s="72">
        <v>45944</v>
      </c>
      <c r="C286" s="72">
        <v>45944</v>
      </c>
      <c r="D286" s="68">
        <v>251014005</v>
      </c>
      <c r="E286" s="74" t="s">
        <v>848</v>
      </c>
      <c r="F286" s="74" t="s">
        <v>849</v>
      </c>
      <c r="G286" s="74">
        <v>31</v>
      </c>
      <c r="H286" s="52">
        <v>24</v>
      </c>
      <c r="I286" s="53" t="s">
        <v>37</v>
      </c>
      <c r="J286" s="42" t="s">
        <v>23</v>
      </c>
      <c r="K286" s="36" t="s">
        <v>38</v>
      </c>
      <c r="L286" s="76" t="s">
        <v>113</v>
      </c>
      <c r="M286" s="74" t="s">
        <v>40</v>
      </c>
      <c r="N286" s="88">
        <v>44.28</v>
      </c>
      <c r="O286" s="74">
        <v>11.8</v>
      </c>
      <c r="P286" s="77">
        <f t="shared" si="20"/>
        <v>32.480000000000004</v>
      </c>
      <c r="Q286" s="74">
        <v>335</v>
      </c>
      <c r="R286" s="78">
        <f t="shared" si="21"/>
        <v>10880.800000000001</v>
      </c>
      <c r="S286" s="74"/>
      <c r="T286" s="79"/>
      <c r="V286" s="83" t="s">
        <v>24</v>
      </c>
      <c r="W286" s="83">
        <v>145</v>
      </c>
      <c r="X286" s="83">
        <f t="shared" si="22"/>
        <v>4709.6000000000004</v>
      </c>
      <c r="Y286" s="83">
        <v>260</v>
      </c>
      <c r="Z286" s="79">
        <f t="shared" si="23"/>
        <v>8444.8000000000011</v>
      </c>
      <c r="AA286" s="80">
        <f t="shared" si="24"/>
        <v>24035.200000000004</v>
      </c>
      <c r="AB286" s="79"/>
    </row>
    <row r="287" spans="1:28" s="83" customFormat="1" ht="15.75">
      <c r="A287" s="32">
        <v>284</v>
      </c>
      <c r="B287" s="72">
        <v>45944</v>
      </c>
      <c r="C287" s="72">
        <v>45944</v>
      </c>
      <c r="D287" s="68">
        <v>251014006</v>
      </c>
      <c r="E287" s="74" t="s">
        <v>850</v>
      </c>
      <c r="F287" s="74" t="s">
        <v>851</v>
      </c>
      <c r="G287" s="74">
        <v>30</v>
      </c>
      <c r="H287" s="52">
        <v>117</v>
      </c>
      <c r="I287" s="53" t="s">
        <v>106</v>
      </c>
      <c r="J287" s="42" t="s">
        <v>23</v>
      </c>
      <c r="K287" s="36" t="s">
        <v>38</v>
      </c>
      <c r="L287" s="76" t="s">
        <v>190</v>
      </c>
      <c r="M287" s="74" t="s">
        <v>40</v>
      </c>
      <c r="N287" s="88">
        <v>44.02</v>
      </c>
      <c r="O287" s="74">
        <v>11.66</v>
      </c>
      <c r="P287" s="77">
        <f t="shared" si="20"/>
        <v>32.36</v>
      </c>
      <c r="Q287" s="74">
        <v>335</v>
      </c>
      <c r="R287" s="78">
        <f t="shared" si="21"/>
        <v>10840.6</v>
      </c>
      <c r="S287" s="74"/>
      <c r="T287" s="79"/>
      <c r="V287" s="83" t="s">
        <v>24</v>
      </c>
      <c r="W287" s="83">
        <v>145</v>
      </c>
      <c r="X287" s="83">
        <f t="shared" si="22"/>
        <v>4692.2</v>
      </c>
      <c r="Y287" s="83">
        <v>230</v>
      </c>
      <c r="Z287" s="79">
        <f t="shared" si="23"/>
        <v>7442.8</v>
      </c>
      <c r="AA287" s="80">
        <f t="shared" si="24"/>
        <v>22975.599999999999</v>
      </c>
      <c r="AB287" s="79"/>
    </row>
    <row r="288" spans="1:28" s="83" customFormat="1" ht="15.75">
      <c r="A288" s="32">
        <v>285</v>
      </c>
      <c r="B288" s="72">
        <v>45944</v>
      </c>
      <c r="C288" s="72">
        <v>45944</v>
      </c>
      <c r="D288" s="68">
        <v>251014008</v>
      </c>
      <c r="E288" s="74" t="s">
        <v>852</v>
      </c>
      <c r="F288" s="74" t="s">
        <v>853</v>
      </c>
      <c r="G288" s="74">
        <v>42</v>
      </c>
      <c r="H288" s="52">
        <v>117</v>
      </c>
      <c r="I288" s="53" t="s">
        <v>106</v>
      </c>
      <c r="J288" s="42" t="s">
        <v>23</v>
      </c>
      <c r="K288" s="36" t="s">
        <v>38</v>
      </c>
      <c r="L288" s="76" t="s">
        <v>854</v>
      </c>
      <c r="M288" s="74" t="s">
        <v>48</v>
      </c>
      <c r="N288" s="88">
        <v>56.94</v>
      </c>
      <c r="O288" s="74">
        <v>13.4</v>
      </c>
      <c r="P288" s="77">
        <f t="shared" si="20"/>
        <v>43.54</v>
      </c>
      <c r="Q288" s="74">
        <v>555</v>
      </c>
      <c r="R288" s="78">
        <f t="shared" si="21"/>
        <v>24164.7</v>
      </c>
      <c r="S288" s="74"/>
      <c r="T288" s="79"/>
      <c r="V288" s="83" t="s">
        <v>24</v>
      </c>
      <c r="W288" s="83">
        <v>145</v>
      </c>
      <c r="X288" s="83">
        <f t="shared" si="22"/>
        <v>6313.3</v>
      </c>
      <c r="Y288" s="83">
        <v>230</v>
      </c>
      <c r="Z288" s="79">
        <f t="shared" si="23"/>
        <v>10014.199999999999</v>
      </c>
      <c r="AA288" s="80">
        <f t="shared" si="24"/>
        <v>40492.199999999997</v>
      </c>
      <c r="AB288" s="79"/>
    </row>
    <row r="289" spans="1:28" s="83" customFormat="1" ht="15.75">
      <c r="A289" s="32">
        <v>286</v>
      </c>
      <c r="B289" s="72">
        <v>45944</v>
      </c>
      <c r="C289" s="72">
        <v>45944</v>
      </c>
      <c r="D289" s="68">
        <v>251014009</v>
      </c>
      <c r="E289" s="74" t="s">
        <v>855</v>
      </c>
      <c r="F289" s="74" t="s">
        <v>856</v>
      </c>
      <c r="G289" s="74">
        <v>39</v>
      </c>
      <c r="H289" s="52">
        <v>115</v>
      </c>
      <c r="I289" s="53" t="s">
        <v>46</v>
      </c>
      <c r="J289" s="42" t="s">
        <v>23</v>
      </c>
      <c r="K289" s="36" t="s">
        <v>38</v>
      </c>
      <c r="L289" s="76" t="s">
        <v>110</v>
      </c>
      <c r="M289" s="74" t="s">
        <v>55</v>
      </c>
      <c r="N289" s="88">
        <v>52.42</v>
      </c>
      <c r="O289" s="74">
        <v>11.7</v>
      </c>
      <c r="P289" s="77">
        <f t="shared" si="20"/>
        <v>40.72</v>
      </c>
      <c r="Q289" s="74">
        <v>445</v>
      </c>
      <c r="R289" s="78">
        <f t="shared" si="21"/>
        <v>18120.399999999998</v>
      </c>
      <c r="S289" s="74"/>
      <c r="T289" s="79"/>
      <c r="V289" s="83" t="s">
        <v>24</v>
      </c>
      <c r="W289" s="83">
        <v>145</v>
      </c>
      <c r="X289" s="83">
        <f t="shared" si="22"/>
        <v>5904.4</v>
      </c>
      <c r="Y289" s="83">
        <v>260</v>
      </c>
      <c r="Z289" s="79">
        <f t="shared" si="23"/>
        <v>10587.199999999999</v>
      </c>
      <c r="AA289" s="80">
        <f t="shared" si="24"/>
        <v>34611.999999999993</v>
      </c>
      <c r="AB289" s="79"/>
    </row>
    <row r="290" spans="1:28" s="83" customFormat="1" ht="15.75">
      <c r="A290" s="32">
        <v>287</v>
      </c>
      <c r="B290" s="72">
        <v>45944</v>
      </c>
      <c r="C290" s="72">
        <v>45944</v>
      </c>
      <c r="D290" s="68">
        <v>251014010</v>
      </c>
      <c r="E290" s="74" t="s">
        <v>857</v>
      </c>
      <c r="F290" s="74" t="s">
        <v>858</v>
      </c>
      <c r="G290" s="74">
        <v>46</v>
      </c>
      <c r="H290" s="52">
        <v>115</v>
      </c>
      <c r="I290" s="53" t="s">
        <v>46</v>
      </c>
      <c r="J290" s="42" t="s">
        <v>23</v>
      </c>
      <c r="K290" s="36" t="s">
        <v>38</v>
      </c>
      <c r="L290" s="76" t="s">
        <v>236</v>
      </c>
      <c r="M290" s="74" t="s">
        <v>48</v>
      </c>
      <c r="N290" s="88">
        <v>65.599999999999994</v>
      </c>
      <c r="O290" s="74">
        <v>18.22</v>
      </c>
      <c r="P290" s="77">
        <f t="shared" si="20"/>
        <v>47.379999999999995</v>
      </c>
      <c r="Q290" s="74">
        <v>545</v>
      </c>
      <c r="R290" s="78">
        <f t="shared" si="21"/>
        <v>25822.1</v>
      </c>
      <c r="S290" s="74"/>
      <c r="T290" s="79"/>
      <c r="V290" s="83" t="s">
        <v>24</v>
      </c>
      <c r="W290" s="83">
        <v>145</v>
      </c>
      <c r="X290" s="83">
        <f t="shared" si="22"/>
        <v>6870.0999999999995</v>
      </c>
      <c r="Y290" s="83">
        <v>260</v>
      </c>
      <c r="Z290" s="79">
        <f t="shared" si="23"/>
        <v>12318.8</v>
      </c>
      <c r="AA290" s="80">
        <f t="shared" si="24"/>
        <v>45011</v>
      </c>
      <c r="AB290" s="79"/>
    </row>
    <row r="291" spans="1:28" s="83" customFormat="1" ht="15.75">
      <c r="A291" s="32">
        <v>288</v>
      </c>
      <c r="B291" s="72">
        <v>45944</v>
      </c>
      <c r="C291" s="72">
        <v>45944</v>
      </c>
      <c r="D291" s="68">
        <v>251014007</v>
      </c>
      <c r="E291" s="74" t="s">
        <v>859</v>
      </c>
      <c r="F291" s="74" t="s">
        <v>860</v>
      </c>
      <c r="G291" s="74">
        <v>43</v>
      </c>
      <c r="H291" s="52">
        <v>24</v>
      </c>
      <c r="I291" s="53" t="s">
        <v>37</v>
      </c>
      <c r="J291" s="42" t="s">
        <v>23</v>
      </c>
      <c r="K291" s="36" t="s">
        <v>38</v>
      </c>
      <c r="L291" s="76" t="s">
        <v>51</v>
      </c>
      <c r="M291" s="74" t="s">
        <v>40</v>
      </c>
      <c r="N291" s="88">
        <v>59.4</v>
      </c>
      <c r="O291" s="74">
        <v>15.32</v>
      </c>
      <c r="P291" s="77">
        <f t="shared" si="20"/>
        <v>44.08</v>
      </c>
      <c r="Q291" s="74">
        <v>335</v>
      </c>
      <c r="R291" s="78">
        <f t="shared" si="21"/>
        <v>14766.8</v>
      </c>
      <c r="S291" s="74"/>
      <c r="T291" s="79"/>
      <c r="V291" s="83" t="s">
        <v>24</v>
      </c>
      <c r="W291" s="83">
        <v>145</v>
      </c>
      <c r="X291" s="83">
        <f t="shared" si="22"/>
        <v>6391.5999999999995</v>
      </c>
      <c r="Y291" s="83">
        <v>260</v>
      </c>
      <c r="Z291" s="79">
        <f t="shared" si="23"/>
        <v>11460.8</v>
      </c>
      <c r="AA291" s="80">
        <f t="shared" si="24"/>
        <v>32619.199999999997</v>
      </c>
      <c r="AB291" s="79"/>
    </row>
    <row r="292" spans="1:28" s="83" customFormat="1" ht="15.75">
      <c r="A292" s="32">
        <v>289</v>
      </c>
      <c r="B292" s="72">
        <v>45944</v>
      </c>
      <c r="C292" s="72">
        <v>45944</v>
      </c>
      <c r="D292" s="68">
        <v>251014011</v>
      </c>
      <c r="E292" s="74" t="s">
        <v>861</v>
      </c>
      <c r="F292" s="74" t="s">
        <v>862</v>
      </c>
      <c r="G292" s="74">
        <v>45</v>
      </c>
      <c r="H292" s="52">
        <v>115</v>
      </c>
      <c r="I292" s="53" t="s">
        <v>46</v>
      </c>
      <c r="J292" s="42" t="s">
        <v>23</v>
      </c>
      <c r="K292" s="36" t="s">
        <v>38</v>
      </c>
      <c r="L292" s="76" t="s">
        <v>623</v>
      </c>
      <c r="M292" s="74" t="s">
        <v>48</v>
      </c>
      <c r="N292" s="88">
        <v>64.94</v>
      </c>
      <c r="O292" s="74">
        <v>18.559999999999999</v>
      </c>
      <c r="P292" s="77">
        <f t="shared" si="20"/>
        <v>46.379999999999995</v>
      </c>
      <c r="Q292" s="74">
        <v>545</v>
      </c>
      <c r="R292" s="78">
        <f t="shared" si="21"/>
        <v>25277.1</v>
      </c>
      <c r="S292" s="74"/>
      <c r="T292" s="79"/>
      <c r="V292" s="83" t="s">
        <v>24</v>
      </c>
      <c r="W292" s="83">
        <v>145</v>
      </c>
      <c r="X292" s="83">
        <f t="shared" si="22"/>
        <v>6725.0999999999995</v>
      </c>
      <c r="Y292" s="83">
        <v>260</v>
      </c>
      <c r="Z292" s="79">
        <f t="shared" si="23"/>
        <v>12058.8</v>
      </c>
      <c r="AA292" s="80">
        <f t="shared" si="24"/>
        <v>44061</v>
      </c>
      <c r="AB292" s="79"/>
    </row>
    <row r="293" spans="1:28" s="83" customFormat="1" ht="15.75">
      <c r="A293" s="32">
        <v>290</v>
      </c>
      <c r="B293" s="72">
        <v>45944</v>
      </c>
      <c r="C293" s="72">
        <v>45944</v>
      </c>
      <c r="D293" s="68">
        <v>251014012</v>
      </c>
      <c r="E293" s="74" t="s">
        <v>863</v>
      </c>
      <c r="F293" s="74" t="s">
        <v>864</v>
      </c>
      <c r="G293" s="74">
        <v>42</v>
      </c>
      <c r="H293" s="52">
        <v>115</v>
      </c>
      <c r="I293" s="53" t="s">
        <v>46</v>
      </c>
      <c r="J293" s="42" t="s">
        <v>23</v>
      </c>
      <c r="K293" s="36" t="s">
        <v>38</v>
      </c>
      <c r="L293" s="76" t="s">
        <v>134</v>
      </c>
      <c r="M293" s="74" t="s">
        <v>48</v>
      </c>
      <c r="N293" s="88">
        <v>58.76</v>
      </c>
      <c r="O293" s="74">
        <v>15.44</v>
      </c>
      <c r="P293" s="77">
        <f t="shared" si="20"/>
        <v>43.32</v>
      </c>
      <c r="Q293" s="74">
        <v>545</v>
      </c>
      <c r="R293" s="78">
        <f t="shared" si="21"/>
        <v>23609.4</v>
      </c>
      <c r="S293" s="74"/>
      <c r="T293" s="79"/>
      <c r="V293" s="83" t="s">
        <v>24</v>
      </c>
      <c r="W293" s="83">
        <v>145</v>
      </c>
      <c r="X293" s="83">
        <f t="shared" si="22"/>
        <v>6281.4</v>
      </c>
      <c r="Y293" s="83">
        <v>260</v>
      </c>
      <c r="Z293" s="79">
        <f t="shared" si="23"/>
        <v>11263.2</v>
      </c>
      <c r="AA293" s="80">
        <f t="shared" si="24"/>
        <v>41154</v>
      </c>
      <c r="AB293" s="79"/>
    </row>
    <row r="294" spans="1:28" s="83" customFormat="1" ht="15.75">
      <c r="A294" s="32">
        <v>291</v>
      </c>
      <c r="B294" s="72">
        <v>45944</v>
      </c>
      <c r="C294" s="72">
        <v>45944</v>
      </c>
      <c r="D294" s="68">
        <v>251014013</v>
      </c>
      <c r="E294" s="74" t="s">
        <v>865</v>
      </c>
      <c r="F294" s="74" t="s">
        <v>866</v>
      </c>
      <c r="G294" s="74">
        <v>40</v>
      </c>
      <c r="H294" s="52">
        <v>115</v>
      </c>
      <c r="I294" s="53" t="s">
        <v>46</v>
      </c>
      <c r="J294" s="42" t="s">
        <v>23</v>
      </c>
      <c r="K294" s="36" t="s">
        <v>38</v>
      </c>
      <c r="L294" s="76" t="s">
        <v>101</v>
      </c>
      <c r="M294" s="74" t="s">
        <v>55</v>
      </c>
      <c r="N294" s="88">
        <v>52.6</v>
      </c>
      <c r="O294" s="74">
        <v>11.5</v>
      </c>
      <c r="P294" s="77">
        <f t="shared" si="20"/>
        <v>41.1</v>
      </c>
      <c r="Q294" s="74">
        <v>445</v>
      </c>
      <c r="R294" s="78">
        <f t="shared" si="21"/>
        <v>18289.5</v>
      </c>
      <c r="S294" s="74"/>
      <c r="T294" s="79"/>
      <c r="V294" s="83" t="s">
        <v>24</v>
      </c>
      <c r="W294" s="83">
        <v>145</v>
      </c>
      <c r="X294" s="83">
        <f t="shared" si="22"/>
        <v>5959.5</v>
      </c>
      <c r="Y294" s="83">
        <v>260</v>
      </c>
      <c r="Z294" s="79">
        <f t="shared" si="23"/>
        <v>10686</v>
      </c>
      <c r="AA294" s="80">
        <f t="shared" si="24"/>
        <v>34935</v>
      </c>
      <c r="AB294" s="79"/>
    </row>
    <row r="295" spans="1:28" s="83" customFormat="1" ht="15.75">
      <c r="A295" s="32">
        <v>292</v>
      </c>
      <c r="B295" s="72">
        <v>45944</v>
      </c>
      <c r="C295" s="72">
        <v>45944</v>
      </c>
      <c r="D295" s="68">
        <v>251014014</v>
      </c>
      <c r="E295" s="74" t="s">
        <v>867</v>
      </c>
      <c r="F295" s="74" t="s">
        <v>868</v>
      </c>
      <c r="G295" s="74">
        <v>38</v>
      </c>
      <c r="H295" s="52">
        <v>115</v>
      </c>
      <c r="I295" s="53" t="s">
        <v>46</v>
      </c>
      <c r="J295" s="42" t="s">
        <v>23</v>
      </c>
      <c r="K295" s="36" t="s">
        <v>38</v>
      </c>
      <c r="L295" s="76" t="s">
        <v>142</v>
      </c>
      <c r="M295" s="74" t="s">
        <v>55</v>
      </c>
      <c r="N295" s="88">
        <v>51.62</v>
      </c>
      <c r="O295" s="74">
        <v>11.78</v>
      </c>
      <c r="P295" s="77">
        <f t="shared" si="20"/>
        <v>39.839999999999996</v>
      </c>
      <c r="Q295" s="74">
        <v>445</v>
      </c>
      <c r="R295" s="78">
        <f t="shared" si="21"/>
        <v>17728.8</v>
      </c>
      <c r="S295" s="74"/>
      <c r="T295" s="79"/>
      <c r="V295" s="83" t="s">
        <v>24</v>
      </c>
      <c r="W295" s="83">
        <v>145</v>
      </c>
      <c r="X295" s="83">
        <f t="shared" si="22"/>
        <v>5776.7999999999993</v>
      </c>
      <c r="Y295" s="83">
        <v>260</v>
      </c>
      <c r="Z295" s="79">
        <f t="shared" si="23"/>
        <v>10358.4</v>
      </c>
      <c r="AA295" s="80">
        <f t="shared" si="24"/>
        <v>33864</v>
      </c>
      <c r="AB295" s="79"/>
    </row>
    <row r="296" spans="1:28" s="83" customFormat="1" ht="15.75">
      <c r="A296" s="32">
        <v>293</v>
      </c>
      <c r="B296" s="72">
        <v>45944</v>
      </c>
      <c r="C296" s="72">
        <v>45944</v>
      </c>
      <c r="D296" s="68">
        <v>251014015</v>
      </c>
      <c r="E296" s="74" t="s">
        <v>869</v>
      </c>
      <c r="F296" s="74" t="s">
        <v>870</v>
      </c>
      <c r="G296" s="74">
        <v>47</v>
      </c>
      <c r="H296" s="52">
        <v>115</v>
      </c>
      <c r="I296" s="53" t="s">
        <v>46</v>
      </c>
      <c r="J296" s="42" t="s">
        <v>23</v>
      </c>
      <c r="K296" s="36" t="s">
        <v>38</v>
      </c>
      <c r="L296" s="76" t="s">
        <v>125</v>
      </c>
      <c r="M296" s="74" t="s">
        <v>55</v>
      </c>
      <c r="N296" s="88">
        <v>64.599999999999994</v>
      </c>
      <c r="O296" s="74">
        <v>15.8</v>
      </c>
      <c r="P296" s="77">
        <f t="shared" si="20"/>
        <v>48.8</v>
      </c>
      <c r="Q296" s="74">
        <v>445</v>
      </c>
      <c r="R296" s="78">
        <f t="shared" si="21"/>
        <v>21716</v>
      </c>
      <c r="S296" s="74"/>
      <c r="T296" s="79"/>
      <c r="V296" s="83" t="s">
        <v>24</v>
      </c>
      <c r="W296" s="83">
        <v>145</v>
      </c>
      <c r="X296" s="83">
        <f t="shared" si="22"/>
        <v>7076</v>
      </c>
      <c r="Y296" s="83">
        <v>260</v>
      </c>
      <c r="Z296" s="79">
        <f t="shared" si="23"/>
        <v>12688</v>
      </c>
      <c r="AA296" s="80">
        <f t="shared" si="24"/>
        <v>41480</v>
      </c>
      <c r="AB296" s="79"/>
    </row>
    <row r="297" spans="1:28" s="83" customFormat="1" ht="15.75">
      <c r="A297" s="32">
        <v>294</v>
      </c>
      <c r="B297" s="72">
        <v>45944</v>
      </c>
      <c r="C297" s="72">
        <v>45944</v>
      </c>
      <c r="D297" s="68">
        <v>251014016</v>
      </c>
      <c r="E297" s="74" t="s">
        <v>871</v>
      </c>
      <c r="F297" s="74" t="s">
        <v>872</v>
      </c>
      <c r="G297" s="74">
        <v>43</v>
      </c>
      <c r="H297" s="52">
        <v>115</v>
      </c>
      <c r="I297" s="53" t="s">
        <v>46</v>
      </c>
      <c r="J297" s="42" t="s">
        <v>23</v>
      </c>
      <c r="K297" s="36" t="s">
        <v>38</v>
      </c>
      <c r="L297" s="76" t="s">
        <v>116</v>
      </c>
      <c r="M297" s="74" t="s">
        <v>48</v>
      </c>
      <c r="N297" s="88">
        <v>59.6</v>
      </c>
      <c r="O297" s="74">
        <v>15.08</v>
      </c>
      <c r="P297" s="77">
        <f t="shared" si="20"/>
        <v>44.52</v>
      </c>
      <c r="Q297" s="74">
        <v>545</v>
      </c>
      <c r="R297" s="78">
        <f t="shared" si="21"/>
        <v>24263.4</v>
      </c>
      <c r="S297" s="74"/>
      <c r="T297" s="79"/>
      <c r="V297" s="83" t="s">
        <v>24</v>
      </c>
      <c r="W297" s="83">
        <v>145</v>
      </c>
      <c r="X297" s="83">
        <f t="shared" si="22"/>
        <v>6455.4000000000005</v>
      </c>
      <c r="Y297" s="83">
        <v>260</v>
      </c>
      <c r="Z297" s="79">
        <f t="shared" si="23"/>
        <v>11575.2</v>
      </c>
      <c r="AA297" s="80">
        <f t="shared" si="24"/>
        <v>42294</v>
      </c>
      <c r="AB297" s="79"/>
    </row>
    <row r="298" spans="1:28" s="83" customFormat="1" ht="15.75">
      <c r="A298" s="32">
        <v>295</v>
      </c>
      <c r="B298" s="72">
        <v>45944</v>
      </c>
      <c r="C298" s="72">
        <v>45944</v>
      </c>
      <c r="D298" s="68">
        <v>251014017</v>
      </c>
      <c r="E298" s="74" t="s">
        <v>873</v>
      </c>
      <c r="F298" s="74" t="s">
        <v>874</v>
      </c>
      <c r="G298" s="74">
        <v>37</v>
      </c>
      <c r="H298" s="52">
        <v>115</v>
      </c>
      <c r="I298" s="53" t="s">
        <v>46</v>
      </c>
      <c r="J298" s="42" t="s">
        <v>23</v>
      </c>
      <c r="K298" s="36" t="s">
        <v>38</v>
      </c>
      <c r="L298" s="76" t="s">
        <v>342</v>
      </c>
      <c r="M298" s="74" t="s">
        <v>55</v>
      </c>
      <c r="N298" s="88">
        <v>50.3</v>
      </c>
      <c r="O298" s="74">
        <v>11.38</v>
      </c>
      <c r="P298" s="77">
        <f t="shared" si="20"/>
        <v>38.919999999999995</v>
      </c>
      <c r="Q298" s="74">
        <v>445</v>
      </c>
      <c r="R298" s="78">
        <f t="shared" si="21"/>
        <v>17319.399999999998</v>
      </c>
      <c r="S298" s="74"/>
      <c r="T298" s="79"/>
      <c r="V298" s="83" t="s">
        <v>24</v>
      </c>
      <c r="W298" s="83">
        <v>145</v>
      </c>
      <c r="X298" s="83">
        <f t="shared" si="22"/>
        <v>5643.4</v>
      </c>
      <c r="Y298" s="83">
        <v>260</v>
      </c>
      <c r="Z298" s="79">
        <f t="shared" si="23"/>
        <v>10119.199999999999</v>
      </c>
      <c r="AA298" s="80">
        <f t="shared" si="24"/>
        <v>33081.999999999993</v>
      </c>
      <c r="AB298" s="79"/>
    </row>
    <row r="299" spans="1:28" s="83" customFormat="1" ht="15.75">
      <c r="A299" s="32">
        <v>296</v>
      </c>
      <c r="B299" s="72">
        <v>45944</v>
      </c>
      <c r="C299" s="72">
        <v>45944</v>
      </c>
      <c r="D299" s="68">
        <v>251014018</v>
      </c>
      <c r="E299" s="74" t="s">
        <v>875</v>
      </c>
      <c r="F299" s="74" t="s">
        <v>876</v>
      </c>
      <c r="G299" s="74">
        <v>48</v>
      </c>
      <c r="H299" s="52">
        <v>115</v>
      </c>
      <c r="I299" s="53" t="s">
        <v>46</v>
      </c>
      <c r="J299" s="42" t="s">
        <v>23</v>
      </c>
      <c r="K299" s="36" t="s">
        <v>38</v>
      </c>
      <c r="L299" s="76" t="s">
        <v>47</v>
      </c>
      <c r="M299" s="74" t="s">
        <v>55</v>
      </c>
      <c r="N299" s="88">
        <v>64.819999999999993</v>
      </c>
      <c r="O299" s="74">
        <v>15.8</v>
      </c>
      <c r="P299" s="77">
        <f t="shared" si="20"/>
        <v>49.019999999999996</v>
      </c>
      <c r="Q299" s="74">
        <v>445</v>
      </c>
      <c r="R299" s="78">
        <f t="shared" si="21"/>
        <v>21813.899999999998</v>
      </c>
      <c r="S299" s="74"/>
      <c r="T299" s="79"/>
      <c r="V299" s="83" t="s">
        <v>24</v>
      </c>
      <c r="W299" s="83">
        <v>145</v>
      </c>
      <c r="X299" s="83">
        <f t="shared" si="22"/>
        <v>7107.9</v>
      </c>
      <c r="Y299" s="83">
        <v>260</v>
      </c>
      <c r="Z299" s="79">
        <f t="shared" si="23"/>
        <v>12745.199999999999</v>
      </c>
      <c r="AA299" s="80">
        <f t="shared" si="24"/>
        <v>41666.999999999993</v>
      </c>
      <c r="AB299" s="79"/>
    </row>
    <row r="300" spans="1:28" s="83" customFormat="1" ht="15.75">
      <c r="A300" s="32">
        <v>297</v>
      </c>
      <c r="B300" s="72">
        <v>45944</v>
      </c>
      <c r="C300" s="72">
        <v>45944</v>
      </c>
      <c r="D300" s="68">
        <v>251014019</v>
      </c>
      <c r="E300" s="74" t="s">
        <v>877</v>
      </c>
      <c r="F300" s="74" t="s">
        <v>878</v>
      </c>
      <c r="G300" s="74">
        <v>35</v>
      </c>
      <c r="H300" s="52">
        <v>115</v>
      </c>
      <c r="I300" s="53" t="s">
        <v>46</v>
      </c>
      <c r="J300" s="42" t="s">
        <v>23</v>
      </c>
      <c r="K300" s="36" t="s">
        <v>38</v>
      </c>
      <c r="L300" s="76" t="s">
        <v>70</v>
      </c>
      <c r="M300" s="74" t="s">
        <v>48</v>
      </c>
      <c r="N300" s="88">
        <v>48.2</v>
      </c>
      <c r="O300" s="74">
        <v>12.06</v>
      </c>
      <c r="P300" s="77">
        <f t="shared" si="20"/>
        <v>36.14</v>
      </c>
      <c r="Q300" s="74">
        <v>545</v>
      </c>
      <c r="R300" s="78">
        <f t="shared" si="21"/>
        <v>19696.3</v>
      </c>
      <c r="S300" s="74"/>
      <c r="T300" s="79"/>
      <c r="V300" s="83" t="s">
        <v>24</v>
      </c>
      <c r="W300" s="83">
        <v>145</v>
      </c>
      <c r="X300" s="83">
        <f t="shared" si="22"/>
        <v>5240.3</v>
      </c>
      <c r="Y300" s="83">
        <v>260</v>
      </c>
      <c r="Z300" s="79">
        <f t="shared" si="23"/>
        <v>9396.4</v>
      </c>
      <c r="AA300" s="80">
        <f t="shared" si="24"/>
        <v>34333</v>
      </c>
      <c r="AB300" s="79"/>
    </row>
    <row r="301" spans="1:28" s="83" customFormat="1" ht="15.75">
      <c r="A301" s="32">
        <v>298</v>
      </c>
      <c r="B301" s="72">
        <v>45944</v>
      </c>
      <c r="C301" s="72">
        <v>45944</v>
      </c>
      <c r="D301" s="68">
        <v>251014020</v>
      </c>
      <c r="E301" s="74" t="s">
        <v>879</v>
      </c>
      <c r="F301" s="74" t="s">
        <v>880</v>
      </c>
      <c r="G301" s="74">
        <v>39</v>
      </c>
      <c r="H301" s="52">
        <v>115</v>
      </c>
      <c r="I301" s="53" t="s">
        <v>46</v>
      </c>
      <c r="J301" s="42" t="s">
        <v>23</v>
      </c>
      <c r="K301" s="36" t="s">
        <v>38</v>
      </c>
      <c r="L301" s="76" t="s">
        <v>509</v>
      </c>
      <c r="M301" s="74" t="s">
        <v>48</v>
      </c>
      <c r="N301" s="88">
        <v>54.48</v>
      </c>
      <c r="O301" s="74">
        <v>13.98</v>
      </c>
      <c r="P301" s="77">
        <f t="shared" si="20"/>
        <v>40.5</v>
      </c>
      <c r="Q301" s="74">
        <v>545</v>
      </c>
      <c r="R301" s="78">
        <f t="shared" si="21"/>
        <v>22072.5</v>
      </c>
      <c r="S301" s="74"/>
      <c r="T301" s="79"/>
      <c r="V301" s="83" t="s">
        <v>24</v>
      </c>
      <c r="W301" s="83">
        <v>145</v>
      </c>
      <c r="X301" s="83">
        <f t="shared" si="22"/>
        <v>5872.5</v>
      </c>
      <c r="Y301" s="83">
        <v>260</v>
      </c>
      <c r="Z301" s="79">
        <f t="shared" si="23"/>
        <v>10530</v>
      </c>
      <c r="AA301" s="80">
        <f t="shared" si="24"/>
        <v>38475</v>
      </c>
      <c r="AB301" s="79"/>
    </row>
    <row r="302" spans="1:28" s="83" customFormat="1" ht="15.75">
      <c r="A302" s="32">
        <v>299</v>
      </c>
      <c r="B302" s="72">
        <v>45944</v>
      </c>
      <c r="C302" s="72">
        <v>45944</v>
      </c>
      <c r="D302" s="68">
        <v>251014021</v>
      </c>
      <c r="E302" s="74" t="s">
        <v>881</v>
      </c>
      <c r="F302" s="74" t="s">
        <v>882</v>
      </c>
      <c r="G302" s="74">
        <v>41</v>
      </c>
      <c r="H302" s="52">
        <v>115</v>
      </c>
      <c r="I302" s="53" t="s">
        <v>46</v>
      </c>
      <c r="J302" s="42" t="s">
        <v>23</v>
      </c>
      <c r="K302" s="36" t="s">
        <v>38</v>
      </c>
      <c r="L302" s="76" t="s">
        <v>569</v>
      </c>
      <c r="M302" s="74" t="s">
        <v>48</v>
      </c>
      <c r="N302" s="88">
        <v>56.9</v>
      </c>
      <c r="O302" s="74">
        <v>14.3</v>
      </c>
      <c r="P302" s="77">
        <f t="shared" si="20"/>
        <v>42.599999999999994</v>
      </c>
      <c r="Q302" s="74">
        <v>545</v>
      </c>
      <c r="R302" s="78">
        <f t="shared" si="21"/>
        <v>23216.999999999996</v>
      </c>
      <c r="S302" s="74"/>
      <c r="T302" s="79"/>
      <c r="V302" s="83" t="s">
        <v>24</v>
      </c>
      <c r="W302" s="83">
        <v>145</v>
      </c>
      <c r="X302" s="83">
        <f t="shared" si="22"/>
        <v>6176.9999999999991</v>
      </c>
      <c r="Y302" s="83">
        <v>260</v>
      </c>
      <c r="Z302" s="79">
        <f t="shared" si="23"/>
        <v>11075.999999999998</v>
      </c>
      <c r="AA302" s="80">
        <f t="shared" si="24"/>
        <v>40469.999999999993</v>
      </c>
      <c r="AB302" s="79"/>
    </row>
    <row r="303" spans="1:28" s="83" customFormat="1" ht="15.75">
      <c r="A303" s="32">
        <v>300</v>
      </c>
      <c r="B303" s="72">
        <v>45944</v>
      </c>
      <c r="C303" s="72">
        <v>45944</v>
      </c>
      <c r="D303" s="68">
        <v>251014022</v>
      </c>
      <c r="E303" s="74" t="s">
        <v>883</v>
      </c>
      <c r="F303" s="74" t="s">
        <v>884</v>
      </c>
      <c r="G303" s="74">
        <v>44</v>
      </c>
      <c r="H303" s="52">
        <v>115</v>
      </c>
      <c r="I303" s="53" t="s">
        <v>46</v>
      </c>
      <c r="J303" s="42" t="s">
        <v>23</v>
      </c>
      <c r="K303" s="36" t="s">
        <v>38</v>
      </c>
      <c r="L303" s="76" t="s">
        <v>82</v>
      </c>
      <c r="M303" s="74" t="s">
        <v>48</v>
      </c>
      <c r="N303" s="88">
        <v>60.48</v>
      </c>
      <c r="O303" s="74">
        <v>15.06</v>
      </c>
      <c r="P303" s="77">
        <f t="shared" si="20"/>
        <v>45.419999999999995</v>
      </c>
      <c r="Q303" s="74">
        <v>545</v>
      </c>
      <c r="R303" s="78">
        <f t="shared" si="21"/>
        <v>24753.899999999998</v>
      </c>
      <c r="S303" s="74"/>
      <c r="T303" s="79"/>
      <c r="V303" s="83" t="s">
        <v>24</v>
      </c>
      <c r="W303" s="83">
        <v>145</v>
      </c>
      <c r="X303" s="83">
        <f t="shared" si="22"/>
        <v>6585.9</v>
      </c>
      <c r="Y303" s="83">
        <v>260</v>
      </c>
      <c r="Z303" s="79">
        <f t="shared" si="23"/>
        <v>11809.199999999999</v>
      </c>
      <c r="AA303" s="80">
        <f t="shared" si="24"/>
        <v>43148.999999999993</v>
      </c>
      <c r="AB303" s="79"/>
    </row>
    <row r="304" spans="1:28" s="83" customFormat="1" ht="15.75">
      <c r="A304" s="32">
        <v>301</v>
      </c>
      <c r="B304" s="72">
        <v>45944</v>
      </c>
      <c r="C304" s="72">
        <v>45944</v>
      </c>
      <c r="D304" s="68">
        <v>251014023</v>
      </c>
      <c r="E304" s="74" t="s">
        <v>885</v>
      </c>
      <c r="F304" s="74" t="s">
        <v>886</v>
      </c>
      <c r="G304" s="74">
        <v>44</v>
      </c>
      <c r="H304" s="52">
        <v>115</v>
      </c>
      <c r="I304" s="53" t="s">
        <v>46</v>
      </c>
      <c r="J304" s="42" t="s">
        <v>23</v>
      </c>
      <c r="K304" s="36" t="s">
        <v>38</v>
      </c>
      <c r="L304" s="76" t="s">
        <v>119</v>
      </c>
      <c r="M304" s="74" t="s">
        <v>48</v>
      </c>
      <c r="N304" s="88">
        <v>63.64</v>
      </c>
      <c r="O304" s="74">
        <v>18.059999999999999</v>
      </c>
      <c r="P304" s="77">
        <f t="shared" si="20"/>
        <v>45.58</v>
      </c>
      <c r="Q304" s="74">
        <v>545</v>
      </c>
      <c r="R304" s="78">
        <f t="shared" si="21"/>
        <v>24841.1</v>
      </c>
      <c r="S304" s="74"/>
      <c r="T304" s="79"/>
      <c r="V304" s="83" t="s">
        <v>24</v>
      </c>
      <c r="W304" s="83">
        <v>145</v>
      </c>
      <c r="X304" s="83">
        <f t="shared" si="22"/>
        <v>6609.0999999999995</v>
      </c>
      <c r="Y304" s="83">
        <v>260</v>
      </c>
      <c r="Z304" s="79">
        <f t="shared" si="23"/>
        <v>11850.8</v>
      </c>
      <c r="AA304" s="80">
        <f t="shared" si="24"/>
        <v>43301</v>
      </c>
      <c r="AB304" s="79"/>
    </row>
    <row r="305" spans="1:38" s="83" customFormat="1" ht="15.75">
      <c r="A305" s="32">
        <v>302</v>
      </c>
      <c r="B305" s="72">
        <v>45944</v>
      </c>
      <c r="C305" s="72">
        <v>45944</v>
      </c>
      <c r="D305" s="68">
        <v>251014024</v>
      </c>
      <c r="E305" s="74" t="s">
        <v>887</v>
      </c>
      <c r="F305" s="74" t="s">
        <v>888</v>
      </c>
      <c r="G305" s="74">
        <v>50</v>
      </c>
      <c r="H305" s="52">
        <v>115</v>
      </c>
      <c r="I305" s="53" t="s">
        <v>46</v>
      </c>
      <c r="J305" s="42" t="s">
        <v>23</v>
      </c>
      <c r="K305" s="36" t="s">
        <v>38</v>
      </c>
      <c r="L305" s="76" t="s">
        <v>79</v>
      </c>
      <c r="M305" s="74" t="s">
        <v>55</v>
      </c>
      <c r="N305" s="88">
        <v>66.92</v>
      </c>
      <c r="O305" s="74">
        <v>15.9</v>
      </c>
      <c r="P305" s="77">
        <f t="shared" si="20"/>
        <v>51.02</v>
      </c>
      <c r="Q305" s="74">
        <v>445</v>
      </c>
      <c r="R305" s="78">
        <f t="shared" si="21"/>
        <v>22703.9</v>
      </c>
      <c r="S305" s="74"/>
      <c r="T305" s="79"/>
      <c r="V305" s="83" t="s">
        <v>24</v>
      </c>
      <c r="W305" s="83">
        <v>145</v>
      </c>
      <c r="X305" s="83">
        <f t="shared" si="22"/>
        <v>7397.9000000000005</v>
      </c>
      <c r="Y305" s="83">
        <v>260</v>
      </c>
      <c r="Z305" s="79">
        <f t="shared" si="23"/>
        <v>13265.2</v>
      </c>
      <c r="AA305" s="80">
        <f t="shared" si="24"/>
        <v>43367</v>
      </c>
      <c r="AB305" s="79"/>
    </row>
    <row r="306" spans="1:38" s="83" customFormat="1" ht="15.75">
      <c r="A306" s="32">
        <v>303</v>
      </c>
      <c r="B306" s="72">
        <v>45944</v>
      </c>
      <c r="C306" s="72">
        <v>45944</v>
      </c>
      <c r="D306" s="68">
        <v>251014025</v>
      </c>
      <c r="E306" s="74" t="s">
        <v>889</v>
      </c>
      <c r="F306" s="74" t="s">
        <v>890</v>
      </c>
      <c r="G306" s="74">
        <v>49</v>
      </c>
      <c r="H306" s="52">
        <v>115</v>
      </c>
      <c r="I306" s="53" t="s">
        <v>46</v>
      </c>
      <c r="J306" s="42" t="s">
        <v>23</v>
      </c>
      <c r="K306" s="36" t="s">
        <v>38</v>
      </c>
      <c r="L306" s="76" t="s">
        <v>198</v>
      </c>
      <c r="M306" s="74" t="s">
        <v>55</v>
      </c>
      <c r="N306" s="88">
        <v>65.86</v>
      </c>
      <c r="O306" s="74">
        <v>15.7</v>
      </c>
      <c r="P306" s="77">
        <f t="shared" si="20"/>
        <v>50.16</v>
      </c>
      <c r="Q306" s="74">
        <v>445</v>
      </c>
      <c r="R306" s="78">
        <f t="shared" si="21"/>
        <v>22321.199999999997</v>
      </c>
      <c r="S306" s="74"/>
      <c r="T306" s="79"/>
      <c r="V306" s="83" t="s">
        <v>24</v>
      </c>
      <c r="W306" s="83">
        <v>145</v>
      </c>
      <c r="X306" s="83">
        <f t="shared" si="22"/>
        <v>7273.2</v>
      </c>
      <c r="Y306" s="83">
        <v>260</v>
      </c>
      <c r="Z306" s="79">
        <f t="shared" si="23"/>
        <v>13041.599999999999</v>
      </c>
      <c r="AA306" s="80">
        <f t="shared" si="24"/>
        <v>42636</v>
      </c>
      <c r="AB306" s="79"/>
    </row>
    <row r="307" spans="1:38" s="83" customFormat="1" ht="15.75">
      <c r="A307" s="32">
        <v>304</v>
      </c>
      <c r="B307" s="72">
        <v>45944</v>
      </c>
      <c r="C307" s="72">
        <v>45945</v>
      </c>
      <c r="D307" s="68">
        <v>251015001</v>
      </c>
      <c r="E307" s="74" t="s">
        <v>891</v>
      </c>
      <c r="F307" s="74" t="s">
        <v>892</v>
      </c>
      <c r="G307" s="74">
        <v>43</v>
      </c>
      <c r="H307" s="52">
        <v>115</v>
      </c>
      <c r="I307" s="53" t="s">
        <v>46</v>
      </c>
      <c r="J307" s="42" t="s">
        <v>23</v>
      </c>
      <c r="K307" s="36" t="s">
        <v>38</v>
      </c>
      <c r="L307" s="76" t="s">
        <v>639</v>
      </c>
      <c r="M307" s="74" t="s">
        <v>48</v>
      </c>
      <c r="N307" s="88">
        <v>59.92</v>
      </c>
      <c r="O307" s="74">
        <v>15.84</v>
      </c>
      <c r="P307" s="77">
        <f t="shared" si="20"/>
        <v>44.08</v>
      </c>
      <c r="Q307" s="74">
        <v>545</v>
      </c>
      <c r="R307" s="78">
        <f t="shared" si="21"/>
        <v>24023.599999999999</v>
      </c>
      <c r="S307" s="74"/>
      <c r="T307" s="79"/>
      <c r="V307" s="83" t="s">
        <v>24</v>
      </c>
      <c r="W307" s="83">
        <v>145</v>
      </c>
      <c r="X307" s="83">
        <f t="shared" si="22"/>
        <v>6391.5999999999995</v>
      </c>
      <c r="Y307" s="83">
        <v>260</v>
      </c>
      <c r="Z307" s="79">
        <f t="shared" si="23"/>
        <v>11460.8</v>
      </c>
      <c r="AA307" s="80">
        <f t="shared" si="24"/>
        <v>41876</v>
      </c>
      <c r="AB307" s="79"/>
    </row>
    <row r="308" spans="1:38" s="83" customFormat="1" ht="15.75">
      <c r="A308" s="32">
        <v>305</v>
      </c>
      <c r="B308" s="72">
        <v>45944</v>
      </c>
      <c r="C308" s="72">
        <v>45945</v>
      </c>
      <c r="D308" s="68">
        <v>251015002</v>
      </c>
      <c r="E308" s="74" t="s">
        <v>893</v>
      </c>
      <c r="F308" s="74" t="s">
        <v>894</v>
      </c>
      <c r="G308" s="74">
        <v>46</v>
      </c>
      <c r="H308" s="52">
        <v>115</v>
      </c>
      <c r="I308" s="53" t="s">
        <v>46</v>
      </c>
      <c r="J308" s="42" t="s">
        <v>23</v>
      </c>
      <c r="K308" s="36" t="s">
        <v>38</v>
      </c>
      <c r="L308" s="76" t="s">
        <v>76</v>
      </c>
      <c r="M308" s="74" t="s">
        <v>55</v>
      </c>
      <c r="N308" s="88">
        <v>65.98</v>
      </c>
      <c r="O308" s="74">
        <v>18.18</v>
      </c>
      <c r="P308" s="77">
        <f t="shared" si="20"/>
        <v>47.800000000000004</v>
      </c>
      <c r="Q308" s="74">
        <v>445</v>
      </c>
      <c r="R308" s="78">
        <f t="shared" si="21"/>
        <v>21271.000000000004</v>
      </c>
      <c r="S308" s="74"/>
      <c r="T308" s="79"/>
      <c r="V308" s="83" t="s">
        <v>24</v>
      </c>
      <c r="W308" s="83">
        <v>145</v>
      </c>
      <c r="X308" s="83">
        <f t="shared" si="22"/>
        <v>6931.0000000000009</v>
      </c>
      <c r="Y308" s="83">
        <v>260</v>
      </c>
      <c r="Z308" s="79">
        <f t="shared" si="23"/>
        <v>12428.000000000002</v>
      </c>
      <c r="AA308" s="80">
        <f t="shared" si="24"/>
        <v>40630.000000000007</v>
      </c>
      <c r="AB308" s="79"/>
    </row>
    <row r="309" spans="1:38" s="83" customFormat="1" ht="15.75">
      <c r="A309" s="32">
        <v>306</v>
      </c>
      <c r="B309" s="72">
        <v>45944</v>
      </c>
      <c r="C309" s="72">
        <v>45945</v>
      </c>
      <c r="D309" s="68">
        <v>251015003</v>
      </c>
      <c r="E309" s="74" t="s">
        <v>895</v>
      </c>
      <c r="F309" s="74" t="s">
        <v>896</v>
      </c>
      <c r="G309" s="74">
        <v>49</v>
      </c>
      <c r="H309" s="52">
        <v>115</v>
      </c>
      <c r="I309" s="53" t="s">
        <v>46</v>
      </c>
      <c r="J309" s="42" t="s">
        <v>23</v>
      </c>
      <c r="K309" s="36" t="s">
        <v>38</v>
      </c>
      <c r="L309" s="76" t="s">
        <v>67</v>
      </c>
      <c r="M309" s="74" t="s">
        <v>55</v>
      </c>
      <c r="N309" s="88">
        <v>66.36</v>
      </c>
      <c r="O309" s="74">
        <v>15.88</v>
      </c>
      <c r="P309" s="77">
        <f t="shared" si="20"/>
        <v>50.48</v>
      </c>
      <c r="Q309" s="74">
        <v>445</v>
      </c>
      <c r="R309" s="78">
        <f t="shared" si="21"/>
        <v>22463.599999999999</v>
      </c>
      <c r="S309" s="74"/>
      <c r="T309" s="79"/>
      <c r="V309" s="83" t="s">
        <v>24</v>
      </c>
      <c r="W309" s="83">
        <v>145</v>
      </c>
      <c r="X309" s="83">
        <f t="shared" si="22"/>
        <v>7319.5999999999995</v>
      </c>
      <c r="Y309" s="83">
        <v>260</v>
      </c>
      <c r="Z309" s="79">
        <f t="shared" si="23"/>
        <v>13124.8</v>
      </c>
      <c r="AA309" s="80">
        <f t="shared" si="24"/>
        <v>42908</v>
      </c>
      <c r="AB309" s="79"/>
    </row>
    <row r="310" spans="1:38" s="83" customFormat="1" ht="15.75">
      <c r="A310" s="32">
        <v>307</v>
      </c>
      <c r="B310" s="72">
        <v>45944</v>
      </c>
      <c r="C310" s="72">
        <v>45945</v>
      </c>
      <c r="D310" s="68">
        <v>251015004</v>
      </c>
      <c r="E310" s="74" t="s">
        <v>897</v>
      </c>
      <c r="F310" s="74" t="s">
        <v>898</v>
      </c>
      <c r="G310" s="74">
        <v>46</v>
      </c>
      <c r="H310" s="52">
        <v>115</v>
      </c>
      <c r="I310" s="53" t="s">
        <v>46</v>
      </c>
      <c r="J310" s="42" t="s">
        <v>23</v>
      </c>
      <c r="K310" s="36" t="s">
        <v>38</v>
      </c>
      <c r="L310" s="76" t="s">
        <v>516</v>
      </c>
      <c r="M310" s="74" t="s">
        <v>40</v>
      </c>
      <c r="N310" s="88">
        <v>65.44</v>
      </c>
      <c r="O310" s="74">
        <v>18.12</v>
      </c>
      <c r="P310" s="77">
        <f t="shared" si="20"/>
        <v>47.319999999999993</v>
      </c>
      <c r="Q310" s="74">
        <v>315</v>
      </c>
      <c r="R310" s="78">
        <f t="shared" si="21"/>
        <v>14905.799999999997</v>
      </c>
      <c r="S310" s="74"/>
      <c r="T310" s="79"/>
      <c r="V310" s="83" t="s">
        <v>24</v>
      </c>
      <c r="W310" s="83">
        <v>145</v>
      </c>
      <c r="X310" s="83">
        <f t="shared" si="22"/>
        <v>6861.3999999999987</v>
      </c>
      <c r="Y310" s="83">
        <v>260</v>
      </c>
      <c r="Z310" s="79">
        <f t="shared" si="23"/>
        <v>12303.199999999999</v>
      </c>
      <c r="AA310" s="80">
        <f t="shared" si="24"/>
        <v>34070.399999999994</v>
      </c>
      <c r="AB310" s="79"/>
    </row>
    <row r="311" spans="1:38" s="83" customFormat="1" ht="15.75">
      <c r="A311" s="32">
        <v>308</v>
      </c>
      <c r="B311" s="72">
        <v>45944</v>
      </c>
      <c r="C311" s="72">
        <v>45945</v>
      </c>
      <c r="D311" s="68">
        <v>251015005</v>
      </c>
      <c r="E311" s="74" t="s">
        <v>899</v>
      </c>
      <c r="F311" s="74" t="s">
        <v>900</v>
      </c>
      <c r="G311" s="74">
        <v>49</v>
      </c>
      <c r="H311" s="52">
        <v>115</v>
      </c>
      <c r="I311" s="53" t="s">
        <v>46</v>
      </c>
      <c r="J311" s="42" t="s">
        <v>23</v>
      </c>
      <c r="K311" s="36" t="s">
        <v>38</v>
      </c>
      <c r="L311" s="76" t="s">
        <v>193</v>
      </c>
      <c r="M311" s="74" t="s">
        <v>40</v>
      </c>
      <c r="N311" s="88">
        <v>65.900000000000006</v>
      </c>
      <c r="O311" s="74">
        <v>15.74</v>
      </c>
      <c r="P311" s="77">
        <f t="shared" si="20"/>
        <v>50.160000000000004</v>
      </c>
      <c r="Q311" s="74">
        <v>315</v>
      </c>
      <c r="R311" s="78">
        <f t="shared" si="21"/>
        <v>15800.400000000001</v>
      </c>
      <c r="S311" s="74"/>
      <c r="T311" s="79"/>
      <c r="V311" s="83" t="s">
        <v>24</v>
      </c>
      <c r="W311" s="83">
        <v>145</v>
      </c>
      <c r="X311" s="83">
        <f t="shared" si="22"/>
        <v>7273.2000000000007</v>
      </c>
      <c r="Y311" s="83">
        <v>260</v>
      </c>
      <c r="Z311" s="79">
        <f t="shared" si="23"/>
        <v>13041.6</v>
      </c>
      <c r="AA311" s="80">
        <f t="shared" si="24"/>
        <v>36115.200000000004</v>
      </c>
      <c r="AB311" s="79"/>
    </row>
    <row r="312" spans="1:38" s="83" customFormat="1" ht="15.75">
      <c r="A312" s="32">
        <v>309</v>
      </c>
      <c r="B312" s="72">
        <v>45945</v>
      </c>
      <c r="C312" s="72">
        <v>45945</v>
      </c>
      <c r="D312" s="97" t="s">
        <v>901</v>
      </c>
      <c r="E312" s="74"/>
      <c r="F312" s="74"/>
      <c r="G312" s="74"/>
      <c r="H312" s="101"/>
      <c r="I312" s="80" t="s">
        <v>607</v>
      </c>
      <c r="J312" s="100" t="s">
        <v>23</v>
      </c>
      <c r="K312" s="100" t="s">
        <v>30</v>
      </c>
      <c r="L312" s="97" t="s">
        <v>608</v>
      </c>
      <c r="M312" s="80" t="s">
        <v>31</v>
      </c>
      <c r="N312" s="80">
        <v>8.2200000000000006</v>
      </c>
      <c r="O312" s="80">
        <v>3.34</v>
      </c>
      <c r="P312" s="85">
        <f t="shared" si="20"/>
        <v>4.8800000000000008</v>
      </c>
      <c r="Q312" s="80">
        <v>150</v>
      </c>
      <c r="R312" s="78">
        <f t="shared" si="21"/>
        <v>732.00000000000011</v>
      </c>
      <c r="S312" s="80">
        <v>730</v>
      </c>
      <c r="T312" s="82"/>
      <c r="V312" s="79" t="s">
        <v>24</v>
      </c>
      <c r="W312" s="80"/>
      <c r="X312" s="81">
        <f t="shared" si="22"/>
        <v>0</v>
      </c>
      <c r="Y312" s="82"/>
      <c r="Z312" s="82">
        <f t="shared" si="23"/>
        <v>0</v>
      </c>
      <c r="AA312" s="79">
        <f t="shared" si="24"/>
        <v>732.00000000000011</v>
      </c>
    </row>
    <row r="313" spans="1:38" s="83" customFormat="1" ht="15.75">
      <c r="A313" s="32">
        <v>310</v>
      </c>
      <c r="B313" s="72">
        <v>45945</v>
      </c>
      <c r="C313" s="72">
        <v>45945</v>
      </c>
      <c r="D313" s="97" t="s">
        <v>902</v>
      </c>
      <c r="E313" s="74"/>
      <c r="F313" s="74"/>
      <c r="G313" s="74"/>
      <c r="H313" s="101"/>
      <c r="I313" s="80" t="s">
        <v>903</v>
      </c>
      <c r="J313" s="100" t="s">
        <v>23</v>
      </c>
      <c r="K313" s="100" t="s">
        <v>38</v>
      </c>
      <c r="L313" s="97" t="s">
        <v>904</v>
      </c>
      <c r="M313" s="80" t="s">
        <v>55</v>
      </c>
      <c r="N313" s="80">
        <v>63.4</v>
      </c>
      <c r="O313" s="80">
        <v>15.38</v>
      </c>
      <c r="P313" s="77">
        <f t="shared" si="20"/>
        <v>48.019999999999996</v>
      </c>
      <c r="Q313" s="80">
        <v>450</v>
      </c>
      <c r="R313" s="78">
        <f t="shared" si="21"/>
        <v>21609</v>
      </c>
      <c r="S313" s="80"/>
      <c r="T313" s="79"/>
      <c r="V313" s="79" t="s">
        <v>268</v>
      </c>
      <c r="W313" s="80"/>
      <c r="X313" s="81">
        <f t="shared" si="22"/>
        <v>0</v>
      </c>
      <c r="Y313" s="82"/>
      <c r="Z313" s="82">
        <f t="shared" si="23"/>
        <v>0</v>
      </c>
      <c r="AA313" s="79">
        <f t="shared" si="24"/>
        <v>21609</v>
      </c>
    </row>
    <row r="314" spans="1:38" s="87" customFormat="1" ht="15.75">
      <c r="A314" s="32">
        <v>311</v>
      </c>
      <c r="B314" s="72">
        <v>45945</v>
      </c>
      <c r="C314" s="72">
        <v>45945</v>
      </c>
      <c r="D314" s="97">
        <v>251015007</v>
      </c>
      <c r="E314" s="74" t="s">
        <v>905</v>
      </c>
      <c r="F314" s="74" t="s">
        <v>906</v>
      </c>
      <c r="G314" s="74">
        <v>39</v>
      </c>
      <c r="H314" s="41">
        <v>115</v>
      </c>
      <c r="I314" s="34" t="s">
        <v>46</v>
      </c>
      <c r="J314" s="34" t="s">
        <v>23</v>
      </c>
      <c r="K314" s="103" t="s">
        <v>38</v>
      </c>
      <c r="L314" s="97" t="s">
        <v>98</v>
      </c>
      <c r="M314" s="80" t="s">
        <v>55</v>
      </c>
      <c r="N314" s="80">
        <v>50.88</v>
      </c>
      <c r="O314" s="80">
        <v>11.82</v>
      </c>
      <c r="P314" s="77">
        <f t="shared" si="20"/>
        <v>39.06</v>
      </c>
      <c r="Q314" s="80">
        <v>445</v>
      </c>
      <c r="R314" s="78">
        <f t="shared" si="21"/>
        <v>17381.7</v>
      </c>
      <c r="S314" s="80"/>
      <c r="T314" s="79"/>
      <c r="V314" s="79" t="s">
        <v>24</v>
      </c>
      <c r="W314" s="80">
        <v>145</v>
      </c>
      <c r="X314" s="81">
        <f t="shared" si="22"/>
        <v>5663.7000000000007</v>
      </c>
      <c r="Y314" s="82">
        <v>260</v>
      </c>
      <c r="Z314" s="82">
        <f t="shared" si="23"/>
        <v>10155.6</v>
      </c>
      <c r="AA314" s="79">
        <f t="shared" si="24"/>
        <v>33201</v>
      </c>
    </row>
    <row r="315" spans="1:38" s="83" customFormat="1" ht="15.75">
      <c r="A315" s="32">
        <v>312</v>
      </c>
      <c r="B315" s="72">
        <v>45945</v>
      </c>
      <c r="C315" s="72">
        <v>45945</v>
      </c>
      <c r="D315" s="97">
        <v>251015010</v>
      </c>
      <c r="E315" s="74" t="s">
        <v>907</v>
      </c>
      <c r="F315" s="74" t="s">
        <v>908</v>
      </c>
      <c r="G315" s="74">
        <v>39</v>
      </c>
      <c r="H315" s="41">
        <v>115</v>
      </c>
      <c r="I315" s="34" t="s">
        <v>46</v>
      </c>
      <c r="J315" s="34" t="s">
        <v>23</v>
      </c>
      <c r="K315" s="103" t="s">
        <v>38</v>
      </c>
      <c r="L315" s="97" t="s">
        <v>101</v>
      </c>
      <c r="M315" s="80" t="s">
        <v>55</v>
      </c>
      <c r="N315" s="80">
        <v>50.72</v>
      </c>
      <c r="O315" s="80">
        <v>11.44</v>
      </c>
      <c r="P315" s="77">
        <f t="shared" si="20"/>
        <v>39.28</v>
      </c>
      <c r="Q315" s="80">
        <v>445</v>
      </c>
      <c r="R315" s="78">
        <f t="shared" si="21"/>
        <v>17479.600000000002</v>
      </c>
      <c r="S315" s="80"/>
      <c r="T315" s="79"/>
      <c r="V315" s="79" t="s">
        <v>24</v>
      </c>
      <c r="W315" s="80">
        <v>145</v>
      </c>
      <c r="X315" s="81">
        <f t="shared" si="22"/>
        <v>5695.6</v>
      </c>
      <c r="Y315" s="82">
        <v>260</v>
      </c>
      <c r="Z315" s="79">
        <f t="shared" si="23"/>
        <v>10212.800000000001</v>
      </c>
      <c r="AA315" s="79">
        <f t="shared" si="24"/>
        <v>33388.000000000007</v>
      </c>
    </row>
    <row r="316" spans="1:38" s="83" customFormat="1" ht="15.75">
      <c r="A316" s="32">
        <v>313</v>
      </c>
      <c r="B316" s="72">
        <v>45945</v>
      </c>
      <c r="C316" s="72">
        <v>45945</v>
      </c>
      <c r="D316" s="97">
        <v>251015009</v>
      </c>
      <c r="E316" s="74" t="s">
        <v>909</v>
      </c>
      <c r="F316" s="74" t="s">
        <v>910</v>
      </c>
      <c r="G316" s="74">
        <v>36</v>
      </c>
      <c r="H316" s="41">
        <v>115</v>
      </c>
      <c r="I316" s="34" t="s">
        <v>46</v>
      </c>
      <c r="J316" s="34" t="s">
        <v>23</v>
      </c>
      <c r="K316" s="103" t="s">
        <v>38</v>
      </c>
      <c r="L316" s="97" t="s">
        <v>113</v>
      </c>
      <c r="M316" s="80" t="s">
        <v>55</v>
      </c>
      <c r="N316" s="80">
        <v>48.18</v>
      </c>
      <c r="O316" s="80">
        <v>11.78</v>
      </c>
      <c r="P316" s="77">
        <f t="shared" si="20"/>
        <v>36.4</v>
      </c>
      <c r="Q316" s="80">
        <v>445</v>
      </c>
      <c r="R316" s="78">
        <f t="shared" si="21"/>
        <v>16198</v>
      </c>
      <c r="S316" s="80"/>
      <c r="T316" s="79"/>
      <c r="V316" s="79" t="s">
        <v>24</v>
      </c>
      <c r="W316" s="80">
        <v>145</v>
      </c>
      <c r="X316" s="81">
        <f t="shared" si="22"/>
        <v>5278</v>
      </c>
      <c r="Y316" s="82">
        <v>260</v>
      </c>
      <c r="Z316" s="79">
        <f t="shared" si="23"/>
        <v>9464</v>
      </c>
      <c r="AA316" s="79">
        <f t="shared" si="24"/>
        <v>30940</v>
      </c>
    </row>
    <row r="317" spans="1:38" s="83" customFormat="1" ht="15.75">
      <c r="A317" s="32">
        <v>314</v>
      </c>
      <c r="B317" s="72">
        <v>45945</v>
      </c>
      <c r="C317" s="72">
        <v>45945</v>
      </c>
      <c r="D317" s="97">
        <v>251015008</v>
      </c>
      <c r="E317" s="74" t="s">
        <v>911</v>
      </c>
      <c r="F317" s="74" t="s">
        <v>912</v>
      </c>
      <c r="G317" s="74">
        <v>48</v>
      </c>
      <c r="H317" s="41">
        <v>115</v>
      </c>
      <c r="I317" s="34" t="s">
        <v>46</v>
      </c>
      <c r="J317" s="34" t="s">
        <v>23</v>
      </c>
      <c r="K317" s="103" t="s">
        <v>38</v>
      </c>
      <c r="L317" s="97" t="s">
        <v>236</v>
      </c>
      <c r="M317" s="80" t="s">
        <v>48</v>
      </c>
      <c r="N317" s="104">
        <v>67.099999999999994</v>
      </c>
      <c r="O317" s="80">
        <v>18.12</v>
      </c>
      <c r="P317" s="77">
        <f t="shared" si="20"/>
        <v>48.97999999999999</v>
      </c>
      <c r="Q317" s="80">
        <v>545</v>
      </c>
      <c r="R317" s="78">
        <f t="shared" si="21"/>
        <v>26694.099999999995</v>
      </c>
      <c r="S317" s="80"/>
      <c r="T317" s="79"/>
      <c r="V317" s="79" t="s">
        <v>24</v>
      </c>
      <c r="W317" s="80">
        <v>145</v>
      </c>
      <c r="X317" s="81">
        <f t="shared" si="22"/>
        <v>7102.0999999999985</v>
      </c>
      <c r="Y317" s="82">
        <v>260</v>
      </c>
      <c r="Z317" s="82">
        <f t="shared" si="23"/>
        <v>12734.799999999997</v>
      </c>
      <c r="AA317" s="79">
        <f t="shared" si="24"/>
        <v>46530.999999999993</v>
      </c>
    </row>
    <row r="318" spans="1:38" s="83" customFormat="1" ht="15.75">
      <c r="A318" s="32">
        <v>315</v>
      </c>
      <c r="B318" s="72">
        <v>45945</v>
      </c>
      <c r="C318" s="72">
        <v>45945</v>
      </c>
      <c r="D318" s="97">
        <v>251015011</v>
      </c>
      <c r="E318" s="74" t="s">
        <v>913</v>
      </c>
      <c r="F318" s="74" t="s">
        <v>914</v>
      </c>
      <c r="G318" s="74">
        <v>39</v>
      </c>
      <c r="H318" s="41">
        <v>115</v>
      </c>
      <c r="I318" s="34" t="s">
        <v>46</v>
      </c>
      <c r="J318" s="34" t="s">
        <v>23</v>
      </c>
      <c r="K318" s="103" t="s">
        <v>38</v>
      </c>
      <c r="L318" s="97" t="s">
        <v>142</v>
      </c>
      <c r="M318" s="80" t="s">
        <v>55</v>
      </c>
      <c r="N318" s="80">
        <v>51.38</v>
      </c>
      <c r="O318" s="80">
        <v>11.74</v>
      </c>
      <c r="P318" s="77">
        <f t="shared" si="20"/>
        <v>39.64</v>
      </c>
      <c r="Q318" s="80">
        <v>445</v>
      </c>
      <c r="R318" s="78">
        <f t="shared" si="21"/>
        <v>17639.8</v>
      </c>
      <c r="S318" s="80"/>
      <c r="T318" s="79"/>
      <c r="V318" s="79" t="s">
        <v>24</v>
      </c>
      <c r="W318" s="80">
        <v>145</v>
      </c>
      <c r="X318" s="81">
        <f t="shared" si="22"/>
        <v>5747.8</v>
      </c>
      <c r="Y318" s="82">
        <v>260</v>
      </c>
      <c r="Z318" s="82">
        <f t="shared" si="23"/>
        <v>10306.4</v>
      </c>
      <c r="AA318" s="79">
        <f t="shared" si="24"/>
        <v>33694</v>
      </c>
    </row>
    <row r="319" spans="1:38" s="83" customFormat="1" ht="17.100000000000001" customHeight="1">
      <c r="A319" s="32">
        <v>316</v>
      </c>
      <c r="B319" s="72">
        <v>45945</v>
      </c>
      <c r="C319" s="72">
        <v>45945</v>
      </c>
      <c r="D319" s="97">
        <v>251015006</v>
      </c>
      <c r="E319" s="74" t="s">
        <v>915</v>
      </c>
      <c r="F319" s="74" t="s">
        <v>916</v>
      </c>
      <c r="G319" s="74">
        <v>61</v>
      </c>
      <c r="H319" s="41">
        <v>115</v>
      </c>
      <c r="I319" s="34" t="s">
        <v>46</v>
      </c>
      <c r="J319" s="34" t="s">
        <v>23</v>
      </c>
      <c r="K319" s="103" t="s">
        <v>38</v>
      </c>
      <c r="L319" s="97" t="s">
        <v>172</v>
      </c>
      <c r="M319" s="80" t="s">
        <v>55</v>
      </c>
      <c r="N319" s="80">
        <v>78.94</v>
      </c>
      <c r="O319" s="80">
        <v>17.54</v>
      </c>
      <c r="P319" s="77">
        <f t="shared" si="20"/>
        <v>61.4</v>
      </c>
      <c r="Q319" s="80">
        <v>445</v>
      </c>
      <c r="R319" s="78">
        <f t="shared" si="21"/>
        <v>27323</v>
      </c>
      <c r="S319" s="80"/>
      <c r="T319" s="79"/>
      <c r="V319" s="79" t="s">
        <v>24</v>
      </c>
      <c r="W319" s="80">
        <v>145</v>
      </c>
      <c r="X319" s="81">
        <f t="shared" si="22"/>
        <v>8903</v>
      </c>
      <c r="Y319" s="82">
        <v>260</v>
      </c>
      <c r="Z319" s="82">
        <f t="shared" si="23"/>
        <v>15964</v>
      </c>
      <c r="AA319" s="79">
        <f t="shared" si="24"/>
        <v>52190</v>
      </c>
      <c r="AB319" s="91"/>
      <c r="AC319" s="90"/>
      <c r="AD319" s="92"/>
      <c r="AE319" s="93"/>
      <c r="AF319" s="90"/>
      <c r="AG319" s="93"/>
      <c r="AH319" s="90"/>
      <c r="AI319" s="92"/>
      <c r="AJ319" s="90"/>
      <c r="AK319" s="92"/>
      <c r="AL319" s="92"/>
    </row>
    <row r="320" spans="1:38" s="83" customFormat="1" ht="15.75">
      <c r="A320" s="32">
        <v>317</v>
      </c>
      <c r="B320" s="72">
        <v>45945</v>
      </c>
      <c r="C320" s="72">
        <v>45945</v>
      </c>
      <c r="D320" s="97">
        <v>251015013</v>
      </c>
      <c r="E320" s="74" t="s">
        <v>917</v>
      </c>
      <c r="F320" s="74" t="s">
        <v>918</v>
      </c>
      <c r="G320" s="74">
        <v>46</v>
      </c>
      <c r="H320" s="41">
        <v>115</v>
      </c>
      <c r="I320" s="34" t="s">
        <v>46</v>
      </c>
      <c r="J320" s="34" t="s">
        <v>23</v>
      </c>
      <c r="K320" s="103" t="s">
        <v>38</v>
      </c>
      <c r="L320" s="97" t="s">
        <v>623</v>
      </c>
      <c r="M320" s="80" t="s">
        <v>48</v>
      </c>
      <c r="N320" s="80">
        <v>64.84</v>
      </c>
      <c r="O320" s="80">
        <v>18.48</v>
      </c>
      <c r="P320" s="77">
        <f t="shared" si="20"/>
        <v>46.36</v>
      </c>
      <c r="Q320" s="80">
        <v>545</v>
      </c>
      <c r="R320" s="78">
        <f t="shared" si="21"/>
        <v>25266.2</v>
      </c>
      <c r="S320" s="80"/>
      <c r="T320" s="79"/>
      <c r="V320" s="79" t="s">
        <v>24</v>
      </c>
      <c r="W320" s="80">
        <v>145</v>
      </c>
      <c r="X320" s="81">
        <f t="shared" si="22"/>
        <v>6722.2</v>
      </c>
      <c r="Y320" s="82">
        <v>260</v>
      </c>
      <c r="Z320" s="82">
        <f t="shared" si="23"/>
        <v>12053.6</v>
      </c>
      <c r="AA320" s="79">
        <f t="shared" si="24"/>
        <v>44042</v>
      </c>
    </row>
    <row r="321" spans="1:27" s="83" customFormat="1" ht="15.75">
      <c r="A321" s="32">
        <v>318</v>
      </c>
      <c r="B321" s="72">
        <v>45945</v>
      </c>
      <c r="C321" s="72">
        <v>45945</v>
      </c>
      <c r="D321" s="97">
        <v>251015014</v>
      </c>
      <c r="E321" s="74" t="s">
        <v>919</v>
      </c>
      <c r="F321" s="74" t="s">
        <v>920</v>
      </c>
      <c r="G321" s="74">
        <v>45</v>
      </c>
      <c r="H321" s="41">
        <v>115</v>
      </c>
      <c r="I321" s="34" t="s">
        <v>46</v>
      </c>
      <c r="J321" s="34" t="s">
        <v>23</v>
      </c>
      <c r="K321" s="103" t="s">
        <v>38</v>
      </c>
      <c r="L321" s="97" t="s">
        <v>82</v>
      </c>
      <c r="M321" s="80" t="s">
        <v>48</v>
      </c>
      <c r="N321" s="80">
        <v>60.18</v>
      </c>
      <c r="O321" s="80">
        <v>15</v>
      </c>
      <c r="P321" s="77">
        <f t="shared" si="20"/>
        <v>45.18</v>
      </c>
      <c r="Q321" s="80">
        <v>545</v>
      </c>
      <c r="R321" s="78">
        <f t="shared" si="21"/>
        <v>24623.1</v>
      </c>
      <c r="S321" s="80"/>
      <c r="T321" s="79"/>
      <c r="V321" s="79" t="s">
        <v>24</v>
      </c>
      <c r="W321" s="80">
        <v>145</v>
      </c>
      <c r="X321" s="81">
        <f t="shared" si="22"/>
        <v>6551.1</v>
      </c>
      <c r="Y321" s="82">
        <v>260</v>
      </c>
      <c r="Z321" s="82">
        <f t="shared" si="23"/>
        <v>11746.8</v>
      </c>
      <c r="AA321" s="79">
        <f t="shared" si="24"/>
        <v>42921</v>
      </c>
    </row>
    <row r="322" spans="1:27" s="83" customFormat="1" ht="15.75">
      <c r="A322" s="32">
        <v>319</v>
      </c>
      <c r="B322" s="72">
        <v>45945</v>
      </c>
      <c r="C322" s="72">
        <v>45945</v>
      </c>
      <c r="D322" s="97">
        <v>251015015</v>
      </c>
      <c r="E322" s="74" t="s">
        <v>921</v>
      </c>
      <c r="F322" s="74" t="s">
        <v>922</v>
      </c>
      <c r="G322" s="74">
        <v>30</v>
      </c>
      <c r="H322" s="41">
        <v>115</v>
      </c>
      <c r="I322" s="34" t="s">
        <v>46</v>
      </c>
      <c r="J322" s="34" t="s">
        <v>23</v>
      </c>
      <c r="K322" s="103" t="s">
        <v>38</v>
      </c>
      <c r="L322" s="97" t="s">
        <v>39</v>
      </c>
      <c r="M322" s="80" t="s">
        <v>40</v>
      </c>
      <c r="N322" s="80">
        <v>41.44</v>
      </c>
      <c r="O322" s="80">
        <v>10.58</v>
      </c>
      <c r="P322" s="77">
        <f t="shared" si="20"/>
        <v>30.86</v>
      </c>
      <c r="Q322" s="80">
        <v>315</v>
      </c>
      <c r="R322" s="78">
        <f t="shared" si="21"/>
        <v>9720.9</v>
      </c>
      <c r="S322" s="80"/>
      <c r="T322" s="79"/>
      <c r="V322" s="79" t="s">
        <v>24</v>
      </c>
      <c r="W322" s="80">
        <v>145</v>
      </c>
      <c r="X322" s="81">
        <f t="shared" si="22"/>
        <v>4474.7</v>
      </c>
      <c r="Y322" s="82">
        <v>260</v>
      </c>
      <c r="Z322" s="82">
        <f t="shared" si="23"/>
        <v>8023.5999999999995</v>
      </c>
      <c r="AA322" s="79">
        <f t="shared" si="24"/>
        <v>22219.199999999997</v>
      </c>
    </row>
    <row r="323" spans="1:27" s="83" customFormat="1" ht="15.75">
      <c r="A323" s="32">
        <v>320</v>
      </c>
      <c r="B323" s="72">
        <v>45945</v>
      </c>
      <c r="C323" s="72">
        <v>45945</v>
      </c>
      <c r="D323" s="97">
        <v>251015016</v>
      </c>
      <c r="E323" s="74" t="s">
        <v>923</v>
      </c>
      <c r="F323" s="74" t="s">
        <v>924</v>
      </c>
      <c r="G323" s="74">
        <v>32</v>
      </c>
      <c r="H323" s="98">
        <v>117</v>
      </c>
      <c r="I323" s="99" t="s">
        <v>106</v>
      </c>
      <c r="J323" s="16" t="s">
        <v>23</v>
      </c>
      <c r="K323" s="16" t="s">
        <v>38</v>
      </c>
      <c r="L323" s="97" t="s">
        <v>190</v>
      </c>
      <c r="M323" s="80" t="s">
        <v>48</v>
      </c>
      <c r="N323" s="104">
        <v>43.9</v>
      </c>
      <c r="O323" s="80">
        <v>11.84</v>
      </c>
      <c r="P323" s="77">
        <f t="shared" si="20"/>
        <v>32.06</v>
      </c>
      <c r="Q323" s="80">
        <v>555</v>
      </c>
      <c r="R323" s="78">
        <f t="shared" si="21"/>
        <v>17793.300000000003</v>
      </c>
      <c r="S323" s="80"/>
      <c r="T323" s="79"/>
      <c r="V323" s="79" t="s">
        <v>24</v>
      </c>
      <c r="W323" s="80">
        <v>145</v>
      </c>
      <c r="X323" s="81">
        <f t="shared" si="22"/>
        <v>4648.7000000000007</v>
      </c>
      <c r="Y323" s="82">
        <v>230</v>
      </c>
      <c r="Z323" s="82">
        <f t="shared" si="23"/>
        <v>7373.8</v>
      </c>
      <c r="AA323" s="79">
        <f t="shared" si="24"/>
        <v>29815.800000000003</v>
      </c>
    </row>
    <row r="324" spans="1:27" s="87" customFormat="1" ht="15.75">
      <c r="A324" s="32">
        <v>321</v>
      </c>
      <c r="B324" s="72">
        <v>45945</v>
      </c>
      <c r="C324" s="72">
        <v>45945</v>
      </c>
      <c r="D324" s="97">
        <v>251015017</v>
      </c>
      <c r="E324" s="74" t="s">
        <v>925</v>
      </c>
      <c r="F324" s="74" t="s">
        <v>926</v>
      </c>
      <c r="G324" s="74">
        <v>35</v>
      </c>
      <c r="H324" s="98">
        <v>117</v>
      </c>
      <c r="I324" s="99" t="s">
        <v>106</v>
      </c>
      <c r="J324" s="16" t="s">
        <v>23</v>
      </c>
      <c r="K324" s="16" t="s">
        <v>38</v>
      </c>
      <c r="L324" s="97" t="s">
        <v>149</v>
      </c>
      <c r="M324" s="80" t="s">
        <v>48</v>
      </c>
      <c r="N324" s="80">
        <v>48.52</v>
      </c>
      <c r="O324" s="80">
        <v>12.76</v>
      </c>
      <c r="P324" s="77">
        <f t="shared" ref="P324:P387" si="25">N324-O324</f>
        <v>35.760000000000005</v>
      </c>
      <c r="Q324" s="80">
        <v>555</v>
      </c>
      <c r="R324" s="78">
        <f t="shared" ref="R324:R387" si="26">Q324*P324</f>
        <v>19846.800000000003</v>
      </c>
      <c r="S324" s="80"/>
      <c r="T324" s="79"/>
      <c r="V324" s="79" t="s">
        <v>24</v>
      </c>
      <c r="W324" s="80">
        <v>145</v>
      </c>
      <c r="X324" s="81">
        <f t="shared" ref="X324:X387" si="27">W324*P324</f>
        <v>5185.2000000000007</v>
      </c>
      <c r="Y324" s="82">
        <v>230</v>
      </c>
      <c r="Z324" s="79">
        <f t="shared" ref="Z324:Z387" si="28">Y324*P324</f>
        <v>8224.8000000000011</v>
      </c>
      <c r="AA324" s="79">
        <f t="shared" ref="AA324:AA387" si="29">R324+X324+Z324</f>
        <v>33256.800000000003</v>
      </c>
    </row>
    <row r="325" spans="1:27" s="83" customFormat="1" ht="15.75">
      <c r="A325" s="32">
        <v>322</v>
      </c>
      <c r="B325" s="72">
        <v>45945</v>
      </c>
      <c r="C325" s="72">
        <v>45945</v>
      </c>
      <c r="D325" s="97">
        <v>251015018</v>
      </c>
      <c r="E325" s="74" t="s">
        <v>927</v>
      </c>
      <c r="F325" s="74" t="s">
        <v>928</v>
      </c>
      <c r="G325" s="74">
        <v>44</v>
      </c>
      <c r="H325" s="98">
        <v>117</v>
      </c>
      <c r="I325" s="99" t="s">
        <v>106</v>
      </c>
      <c r="J325" s="16" t="s">
        <v>23</v>
      </c>
      <c r="K325" s="16" t="s">
        <v>38</v>
      </c>
      <c r="L325" s="97" t="s">
        <v>304</v>
      </c>
      <c r="M325" s="80" t="s">
        <v>48</v>
      </c>
      <c r="N325" s="80">
        <v>60.14</v>
      </c>
      <c r="O325" s="80">
        <v>16.02</v>
      </c>
      <c r="P325" s="85">
        <f t="shared" si="25"/>
        <v>44.120000000000005</v>
      </c>
      <c r="Q325" s="80">
        <v>555</v>
      </c>
      <c r="R325" s="78">
        <f t="shared" si="26"/>
        <v>24486.600000000002</v>
      </c>
      <c r="S325" s="80"/>
      <c r="T325" s="79"/>
      <c r="V325" s="79" t="s">
        <v>24</v>
      </c>
      <c r="W325" s="80">
        <v>145</v>
      </c>
      <c r="X325" s="81">
        <f t="shared" si="27"/>
        <v>6397.4000000000005</v>
      </c>
      <c r="Y325" s="82">
        <v>230</v>
      </c>
      <c r="Z325" s="79">
        <f t="shared" si="28"/>
        <v>10147.6</v>
      </c>
      <c r="AA325" s="79">
        <f t="shared" si="29"/>
        <v>41031.600000000006</v>
      </c>
    </row>
    <row r="326" spans="1:27" s="83" customFormat="1" ht="15.75">
      <c r="A326" s="32">
        <v>323</v>
      </c>
      <c r="B326" s="72">
        <v>45945</v>
      </c>
      <c r="C326" s="72">
        <v>45945</v>
      </c>
      <c r="D326" s="97">
        <v>251015019</v>
      </c>
      <c r="E326" s="74" t="s">
        <v>929</v>
      </c>
      <c r="F326" s="74" t="s">
        <v>930</v>
      </c>
      <c r="G326" s="74">
        <v>44</v>
      </c>
      <c r="H326" s="41">
        <v>115</v>
      </c>
      <c r="I326" s="34" t="s">
        <v>46</v>
      </c>
      <c r="J326" s="34" t="s">
        <v>23</v>
      </c>
      <c r="K326" s="103" t="s">
        <v>38</v>
      </c>
      <c r="L326" s="97" t="s">
        <v>134</v>
      </c>
      <c r="M326" s="80" t="s">
        <v>48</v>
      </c>
      <c r="N326" s="80">
        <v>60.02</v>
      </c>
      <c r="O326" s="80">
        <v>15.48</v>
      </c>
      <c r="P326" s="77">
        <f t="shared" si="25"/>
        <v>44.540000000000006</v>
      </c>
      <c r="Q326" s="80">
        <v>545</v>
      </c>
      <c r="R326" s="78">
        <f t="shared" si="26"/>
        <v>24274.300000000003</v>
      </c>
      <c r="S326" s="80"/>
      <c r="T326" s="79"/>
      <c r="V326" s="79" t="s">
        <v>24</v>
      </c>
      <c r="W326" s="80">
        <v>145</v>
      </c>
      <c r="X326" s="81">
        <f t="shared" si="27"/>
        <v>6458.3000000000011</v>
      </c>
      <c r="Y326" s="82">
        <v>260</v>
      </c>
      <c r="Z326" s="79">
        <f t="shared" si="28"/>
        <v>11580.400000000001</v>
      </c>
      <c r="AA326" s="79">
        <f t="shared" si="29"/>
        <v>42313.000000000007</v>
      </c>
    </row>
    <row r="327" spans="1:27" s="87" customFormat="1" ht="15.75">
      <c r="A327" s="32">
        <v>324</v>
      </c>
      <c r="B327" s="72">
        <v>45945</v>
      </c>
      <c r="C327" s="72">
        <v>45945</v>
      </c>
      <c r="D327" s="97" t="s">
        <v>931</v>
      </c>
      <c r="E327" s="74"/>
      <c r="F327" s="74"/>
      <c r="G327" s="74"/>
      <c r="H327" s="102"/>
      <c r="I327" s="80" t="s">
        <v>607</v>
      </c>
      <c r="J327" s="100" t="s">
        <v>23</v>
      </c>
      <c r="K327" s="100" t="s">
        <v>30</v>
      </c>
      <c r="L327" s="97" t="s">
        <v>608</v>
      </c>
      <c r="M327" s="80" t="s">
        <v>31</v>
      </c>
      <c r="N327" s="80">
        <v>9.68</v>
      </c>
      <c r="O327" s="80">
        <v>3.34</v>
      </c>
      <c r="P327" s="77">
        <f t="shared" si="25"/>
        <v>6.34</v>
      </c>
      <c r="Q327" s="80">
        <v>150</v>
      </c>
      <c r="R327" s="78">
        <f t="shared" si="26"/>
        <v>951</v>
      </c>
      <c r="S327" s="80">
        <v>950</v>
      </c>
      <c r="T327" s="79"/>
      <c r="V327" s="79" t="s">
        <v>24</v>
      </c>
      <c r="W327" s="80"/>
      <c r="X327" s="81">
        <f t="shared" si="27"/>
        <v>0</v>
      </c>
      <c r="Y327" s="82"/>
      <c r="Z327" s="79">
        <f t="shared" si="28"/>
        <v>0</v>
      </c>
      <c r="AA327" s="79">
        <f t="shared" si="29"/>
        <v>951</v>
      </c>
    </row>
    <row r="328" spans="1:27" s="83" customFormat="1" ht="15.75">
      <c r="A328" s="32">
        <v>325</v>
      </c>
      <c r="B328" s="72">
        <v>45945</v>
      </c>
      <c r="C328" s="72">
        <v>45945</v>
      </c>
      <c r="D328" s="97" t="s">
        <v>932</v>
      </c>
      <c r="E328" s="74"/>
      <c r="F328" s="74"/>
      <c r="G328" s="74"/>
      <c r="H328" s="80"/>
      <c r="I328" s="80" t="s">
        <v>933</v>
      </c>
      <c r="J328" s="100" t="s">
        <v>23</v>
      </c>
      <c r="K328" s="100" t="s">
        <v>30</v>
      </c>
      <c r="L328" s="97" t="s">
        <v>934</v>
      </c>
      <c r="M328" s="80" t="s">
        <v>31</v>
      </c>
      <c r="N328" s="80">
        <v>9.9600000000000009</v>
      </c>
      <c r="O328" s="80">
        <v>3.5</v>
      </c>
      <c r="P328" s="77">
        <f t="shared" si="25"/>
        <v>6.4600000000000009</v>
      </c>
      <c r="Q328" s="80">
        <v>150</v>
      </c>
      <c r="R328" s="78">
        <f t="shared" si="26"/>
        <v>969.00000000000011</v>
      </c>
      <c r="S328" s="80">
        <v>970</v>
      </c>
      <c r="T328" s="79"/>
      <c r="V328" s="79" t="s">
        <v>24</v>
      </c>
      <c r="W328" s="80"/>
      <c r="X328" s="81">
        <f t="shared" si="27"/>
        <v>0</v>
      </c>
      <c r="Y328" s="82"/>
      <c r="Z328" s="79">
        <f t="shared" si="28"/>
        <v>0</v>
      </c>
      <c r="AA328" s="79">
        <f t="shared" si="29"/>
        <v>969.00000000000011</v>
      </c>
    </row>
    <row r="329" spans="1:27" s="83" customFormat="1" ht="15.75">
      <c r="A329" s="32">
        <v>326</v>
      </c>
      <c r="B329" s="72">
        <v>45945</v>
      </c>
      <c r="C329" s="72">
        <v>45945</v>
      </c>
      <c r="D329" s="97" t="s">
        <v>935</v>
      </c>
      <c r="E329" s="74"/>
      <c r="F329" s="74"/>
      <c r="G329" s="74"/>
      <c r="H329" s="80"/>
      <c r="I329" s="80" t="s">
        <v>933</v>
      </c>
      <c r="J329" s="100" t="s">
        <v>23</v>
      </c>
      <c r="K329" s="100" t="s">
        <v>30</v>
      </c>
      <c r="L329" s="97" t="s">
        <v>936</v>
      </c>
      <c r="M329" s="80" t="s">
        <v>31</v>
      </c>
      <c r="N329" s="80">
        <v>9.44</v>
      </c>
      <c r="O329" s="80">
        <v>3.48</v>
      </c>
      <c r="P329" s="77">
        <f t="shared" si="25"/>
        <v>5.9599999999999991</v>
      </c>
      <c r="Q329" s="80">
        <v>150</v>
      </c>
      <c r="R329" s="78">
        <f t="shared" si="26"/>
        <v>893.99999999999989</v>
      </c>
      <c r="S329" s="80">
        <v>895</v>
      </c>
      <c r="T329" s="79"/>
      <c r="V329" s="79" t="s">
        <v>24</v>
      </c>
      <c r="W329" s="80"/>
      <c r="X329" s="81">
        <f t="shared" si="27"/>
        <v>0</v>
      </c>
      <c r="Y329" s="82"/>
      <c r="Z329" s="79">
        <f t="shared" si="28"/>
        <v>0</v>
      </c>
      <c r="AA329" s="79">
        <f t="shared" si="29"/>
        <v>893.99999999999989</v>
      </c>
    </row>
    <row r="330" spans="1:27" s="83" customFormat="1" ht="15.75">
      <c r="A330" s="32">
        <v>327</v>
      </c>
      <c r="B330" s="72">
        <v>45945</v>
      </c>
      <c r="C330" s="72">
        <v>45945</v>
      </c>
      <c r="D330" s="97" t="s">
        <v>937</v>
      </c>
      <c r="E330" s="74"/>
      <c r="F330" s="74"/>
      <c r="G330" s="74"/>
      <c r="H330" s="84"/>
      <c r="I330" s="80" t="s">
        <v>607</v>
      </c>
      <c r="J330" s="100" t="s">
        <v>23</v>
      </c>
      <c r="K330" s="100" t="s">
        <v>30</v>
      </c>
      <c r="L330" s="97" t="s">
        <v>608</v>
      </c>
      <c r="M330" s="80" t="s">
        <v>31</v>
      </c>
      <c r="N330" s="104">
        <v>9.6199999999999992</v>
      </c>
      <c r="O330" s="80">
        <v>3.32</v>
      </c>
      <c r="P330" s="77">
        <f t="shared" si="25"/>
        <v>6.2999999999999989</v>
      </c>
      <c r="Q330" s="80">
        <v>150</v>
      </c>
      <c r="R330" s="78">
        <f t="shared" si="26"/>
        <v>944.99999999999989</v>
      </c>
      <c r="S330" s="80">
        <v>945</v>
      </c>
      <c r="T330" s="79"/>
      <c r="V330" s="79" t="s">
        <v>24</v>
      </c>
      <c r="W330" s="80"/>
      <c r="X330" s="81">
        <f t="shared" si="27"/>
        <v>0</v>
      </c>
      <c r="Y330" s="82"/>
      <c r="Z330" s="79">
        <f t="shared" si="28"/>
        <v>0</v>
      </c>
      <c r="AA330" s="79">
        <f t="shared" si="29"/>
        <v>944.99999999999989</v>
      </c>
    </row>
    <row r="331" spans="1:27" s="83" customFormat="1" ht="15.75">
      <c r="A331" s="32">
        <v>328</v>
      </c>
      <c r="B331" s="72">
        <v>45945</v>
      </c>
      <c r="C331" s="72">
        <v>45945</v>
      </c>
      <c r="D331" s="97">
        <v>251015020</v>
      </c>
      <c r="E331" s="74" t="s">
        <v>938</v>
      </c>
      <c r="F331" s="74" t="s">
        <v>939</v>
      </c>
      <c r="G331" s="74">
        <v>44</v>
      </c>
      <c r="H331" s="41">
        <v>115</v>
      </c>
      <c r="I331" s="34" t="s">
        <v>46</v>
      </c>
      <c r="J331" s="34" t="s">
        <v>23</v>
      </c>
      <c r="K331" s="103" t="s">
        <v>38</v>
      </c>
      <c r="L331" s="97" t="s">
        <v>51</v>
      </c>
      <c r="M331" s="80" t="s">
        <v>48</v>
      </c>
      <c r="N331" s="80">
        <v>59.42</v>
      </c>
      <c r="O331" s="80">
        <v>15.28</v>
      </c>
      <c r="P331" s="77">
        <f t="shared" si="25"/>
        <v>44.14</v>
      </c>
      <c r="Q331" s="80">
        <v>545</v>
      </c>
      <c r="R331" s="78">
        <f t="shared" si="26"/>
        <v>24056.3</v>
      </c>
      <c r="S331" s="80"/>
      <c r="T331" s="79"/>
      <c r="V331" s="79" t="s">
        <v>24</v>
      </c>
      <c r="W331" s="80">
        <v>145</v>
      </c>
      <c r="X331" s="81">
        <f t="shared" si="27"/>
        <v>6400.3</v>
      </c>
      <c r="Y331" s="82">
        <v>260</v>
      </c>
      <c r="Z331" s="79">
        <f t="shared" si="28"/>
        <v>11476.4</v>
      </c>
      <c r="AA331" s="79">
        <f t="shared" si="29"/>
        <v>41933</v>
      </c>
    </row>
    <row r="332" spans="1:27" s="87" customFormat="1" ht="15.75">
      <c r="A332" s="32">
        <v>329</v>
      </c>
      <c r="B332" s="72">
        <v>45945</v>
      </c>
      <c r="C332" s="72">
        <v>45945</v>
      </c>
      <c r="D332" s="97" t="s">
        <v>940</v>
      </c>
      <c r="E332" s="74"/>
      <c r="F332" s="74"/>
      <c r="G332" s="74"/>
      <c r="H332" s="101"/>
      <c r="I332" s="80" t="s">
        <v>607</v>
      </c>
      <c r="J332" s="100" t="s">
        <v>23</v>
      </c>
      <c r="K332" s="100" t="s">
        <v>30</v>
      </c>
      <c r="L332" s="97" t="s">
        <v>608</v>
      </c>
      <c r="M332" s="80" t="s">
        <v>31</v>
      </c>
      <c r="N332" s="80">
        <v>9.56</v>
      </c>
      <c r="O332" s="80">
        <v>3.36</v>
      </c>
      <c r="P332" s="74">
        <f t="shared" si="25"/>
        <v>6.2000000000000011</v>
      </c>
      <c r="Q332" s="80">
        <v>150</v>
      </c>
      <c r="R332" s="78">
        <f t="shared" si="26"/>
        <v>930.00000000000011</v>
      </c>
      <c r="S332" s="80">
        <v>930</v>
      </c>
      <c r="T332" s="79"/>
      <c r="V332" s="79" t="s">
        <v>24</v>
      </c>
      <c r="W332" s="80"/>
      <c r="X332" s="81">
        <f t="shared" si="27"/>
        <v>0</v>
      </c>
      <c r="Y332" s="82"/>
      <c r="Z332" s="79">
        <f t="shared" si="28"/>
        <v>0</v>
      </c>
      <c r="AA332" s="79">
        <f t="shared" si="29"/>
        <v>930.00000000000011</v>
      </c>
    </row>
    <row r="333" spans="1:27" s="87" customFormat="1" ht="15.75">
      <c r="A333" s="32">
        <v>330</v>
      </c>
      <c r="B333" s="72">
        <v>45945</v>
      </c>
      <c r="C333" s="72">
        <v>45945</v>
      </c>
      <c r="D333" s="97" t="s">
        <v>941</v>
      </c>
      <c r="E333" s="74"/>
      <c r="F333" s="74"/>
      <c r="G333" s="74"/>
      <c r="H333" s="102"/>
      <c r="I333" s="80" t="s">
        <v>933</v>
      </c>
      <c r="J333" s="100" t="s">
        <v>23</v>
      </c>
      <c r="K333" s="100" t="s">
        <v>30</v>
      </c>
      <c r="L333" s="97" t="s">
        <v>934</v>
      </c>
      <c r="M333" s="80" t="s">
        <v>31</v>
      </c>
      <c r="N333" s="80">
        <v>8.86</v>
      </c>
      <c r="O333" s="104">
        <v>3.6</v>
      </c>
      <c r="P333" s="77">
        <f t="shared" si="25"/>
        <v>5.26</v>
      </c>
      <c r="Q333" s="80">
        <v>150</v>
      </c>
      <c r="R333" s="78">
        <f t="shared" si="26"/>
        <v>789</v>
      </c>
      <c r="S333" s="80">
        <v>790</v>
      </c>
      <c r="T333" s="79"/>
      <c r="V333" s="79" t="s">
        <v>24</v>
      </c>
      <c r="W333" s="80"/>
      <c r="X333" s="81">
        <f t="shared" si="27"/>
        <v>0</v>
      </c>
      <c r="Y333" s="82"/>
      <c r="Z333" s="82">
        <f t="shared" si="28"/>
        <v>0</v>
      </c>
      <c r="AA333" s="79">
        <f t="shared" si="29"/>
        <v>789</v>
      </c>
    </row>
    <row r="334" spans="1:27" s="83" customFormat="1" ht="15.75">
      <c r="A334" s="32">
        <v>331</v>
      </c>
      <c r="B334" s="72">
        <v>45945</v>
      </c>
      <c r="C334" s="72">
        <v>45945</v>
      </c>
      <c r="D334" s="97">
        <v>251015020</v>
      </c>
      <c r="E334" s="74" t="s">
        <v>942</v>
      </c>
      <c r="F334" s="74" t="s">
        <v>943</v>
      </c>
      <c r="G334" s="74">
        <v>43</v>
      </c>
      <c r="H334" s="33">
        <v>24</v>
      </c>
      <c r="I334" s="34" t="s">
        <v>37</v>
      </c>
      <c r="J334" s="35" t="s">
        <v>23</v>
      </c>
      <c r="K334" s="36" t="s">
        <v>38</v>
      </c>
      <c r="L334" s="97" t="s">
        <v>116</v>
      </c>
      <c r="M334" s="80" t="s">
        <v>40</v>
      </c>
      <c r="N334" s="80">
        <v>58.54</v>
      </c>
      <c r="O334" s="80">
        <v>15.04</v>
      </c>
      <c r="P334" s="77">
        <f t="shared" si="25"/>
        <v>43.5</v>
      </c>
      <c r="Q334" s="80">
        <v>335</v>
      </c>
      <c r="R334" s="78">
        <f t="shared" si="26"/>
        <v>14572.5</v>
      </c>
      <c r="S334" s="80"/>
      <c r="T334" s="79"/>
      <c r="V334" s="79" t="s">
        <v>24</v>
      </c>
      <c r="W334" s="80">
        <v>145</v>
      </c>
      <c r="X334" s="81">
        <f t="shared" si="27"/>
        <v>6307.5</v>
      </c>
      <c r="Y334" s="82">
        <v>260</v>
      </c>
      <c r="Z334" s="79">
        <f t="shared" si="28"/>
        <v>11310</v>
      </c>
      <c r="AA334" s="79">
        <f t="shared" si="29"/>
        <v>32190</v>
      </c>
    </row>
    <row r="335" spans="1:27" s="83" customFormat="1" ht="15.75">
      <c r="A335" s="32">
        <v>332</v>
      </c>
      <c r="B335" s="72">
        <v>45945</v>
      </c>
      <c r="C335" s="72">
        <v>45945</v>
      </c>
      <c r="D335" s="97">
        <v>251015021</v>
      </c>
      <c r="E335" s="74" t="s">
        <v>944</v>
      </c>
      <c r="F335" s="74" t="s">
        <v>945</v>
      </c>
      <c r="G335" s="74">
        <v>35</v>
      </c>
      <c r="H335" s="33">
        <v>24</v>
      </c>
      <c r="I335" s="34" t="s">
        <v>37</v>
      </c>
      <c r="J335" s="35" t="s">
        <v>23</v>
      </c>
      <c r="K335" s="36" t="s">
        <v>38</v>
      </c>
      <c r="L335" s="97" t="s">
        <v>70</v>
      </c>
      <c r="M335" s="80" t="s">
        <v>40</v>
      </c>
      <c r="N335" s="80">
        <v>47.56</v>
      </c>
      <c r="O335" s="104">
        <v>12.2</v>
      </c>
      <c r="P335" s="77">
        <f t="shared" si="25"/>
        <v>35.36</v>
      </c>
      <c r="Q335" s="80">
        <v>335</v>
      </c>
      <c r="R335" s="78">
        <f t="shared" si="26"/>
        <v>11845.6</v>
      </c>
      <c r="S335" s="80"/>
      <c r="T335" s="79"/>
      <c r="V335" s="79" t="s">
        <v>24</v>
      </c>
      <c r="W335" s="80">
        <v>145</v>
      </c>
      <c r="X335" s="81">
        <f t="shared" si="27"/>
        <v>5127.2</v>
      </c>
      <c r="Y335" s="82">
        <v>260</v>
      </c>
      <c r="Z335" s="79">
        <f t="shared" si="28"/>
        <v>9193.6</v>
      </c>
      <c r="AA335" s="79">
        <f t="shared" si="29"/>
        <v>26166.400000000001</v>
      </c>
    </row>
    <row r="336" spans="1:27" s="83" customFormat="1" ht="15.75">
      <c r="A336" s="32">
        <v>333</v>
      </c>
      <c r="B336" s="72">
        <v>45945</v>
      </c>
      <c r="C336" s="72">
        <v>45945</v>
      </c>
      <c r="D336" s="97">
        <v>251015023</v>
      </c>
      <c r="E336" s="74" t="s">
        <v>946</v>
      </c>
      <c r="F336" s="74" t="s">
        <v>947</v>
      </c>
      <c r="G336" s="74">
        <v>33</v>
      </c>
      <c r="H336" s="41">
        <v>96</v>
      </c>
      <c r="I336" s="53" t="s">
        <v>85</v>
      </c>
      <c r="J336" s="105" t="s">
        <v>23</v>
      </c>
      <c r="K336" s="43" t="s">
        <v>38</v>
      </c>
      <c r="L336" s="97" t="s">
        <v>216</v>
      </c>
      <c r="M336" s="80" t="s">
        <v>48</v>
      </c>
      <c r="N336" s="80">
        <v>45.86</v>
      </c>
      <c r="O336" s="80">
        <v>12.06</v>
      </c>
      <c r="P336" s="77">
        <f t="shared" si="25"/>
        <v>33.799999999999997</v>
      </c>
      <c r="Q336" s="80">
        <v>525</v>
      </c>
      <c r="R336" s="78">
        <f t="shared" si="26"/>
        <v>17745</v>
      </c>
      <c r="S336" s="80"/>
      <c r="T336" s="79"/>
      <c r="V336" s="79" t="s">
        <v>24</v>
      </c>
      <c r="W336" s="80">
        <v>145</v>
      </c>
      <c r="X336" s="81">
        <f t="shared" si="27"/>
        <v>4901</v>
      </c>
      <c r="Y336" s="82"/>
      <c r="Z336" s="82">
        <f t="shared" si="28"/>
        <v>0</v>
      </c>
      <c r="AA336" s="79">
        <f t="shared" si="29"/>
        <v>22646</v>
      </c>
    </row>
    <row r="337" spans="1:27" s="83" customFormat="1" ht="15.75">
      <c r="A337" s="32">
        <v>334</v>
      </c>
      <c r="B337" s="72">
        <v>45945</v>
      </c>
      <c r="C337" s="72">
        <v>45945</v>
      </c>
      <c r="D337" s="97">
        <v>251015022</v>
      </c>
      <c r="E337" s="74" t="s">
        <v>948</v>
      </c>
      <c r="F337" s="74" t="s">
        <v>949</v>
      </c>
      <c r="G337" s="74">
        <v>45</v>
      </c>
      <c r="H337" s="41">
        <v>115</v>
      </c>
      <c r="I337" s="34" t="s">
        <v>46</v>
      </c>
      <c r="J337" s="34" t="s">
        <v>23</v>
      </c>
      <c r="K337" s="103" t="s">
        <v>38</v>
      </c>
      <c r="L337" s="97" t="s">
        <v>54</v>
      </c>
      <c r="M337" s="80" t="s">
        <v>40</v>
      </c>
      <c r="N337" s="80">
        <v>62.5</v>
      </c>
      <c r="O337" s="80">
        <v>16.96</v>
      </c>
      <c r="P337" s="77">
        <f t="shared" si="25"/>
        <v>45.54</v>
      </c>
      <c r="Q337" s="80">
        <v>315</v>
      </c>
      <c r="R337" s="78">
        <f t="shared" si="26"/>
        <v>14345.1</v>
      </c>
      <c r="S337" s="80"/>
      <c r="T337" s="79"/>
      <c r="V337" s="79" t="s">
        <v>24</v>
      </c>
      <c r="W337" s="80">
        <v>145</v>
      </c>
      <c r="X337" s="81">
        <f t="shared" si="27"/>
        <v>6603.3</v>
      </c>
      <c r="Y337" s="82">
        <v>260</v>
      </c>
      <c r="Z337" s="82">
        <f t="shared" si="28"/>
        <v>11840.4</v>
      </c>
      <c r="AA337" s="79">
        <f t="shared" si="29"/>
        <v>32788.800000000003</v>
      </c>
    </row>
    <row r="338" spans="1:27" s="83" customFormat="1" ht="15.75">
      <c r="A338" s="32">
        <v>335</v>
      </c>
      <c r="B338" s="72">
        <v>45945</v>
      </c>
      <c r="C338" s="72">
        <v>45946</v>
      </c>
      <c r="D338" s="74">
        <v>251016001</v>
      </c>
      <c r="E338" s="74" t="s">
        <v>950</v>
      </c>
      <c r="F338" s="74" t="s">
        <v>951</v>
      </c>
      <c r="G338" s="74">
        <v>43</v>
      </c>
      <c r="H338" s="41">
        <v>115</v>
      </c>
      <c r="I338" s="34" t="s">
        <v>46</v>
      </c>
      <c r="J338" s="34" t="s">
        <v>23</v>
      </c>
      <c r="K338" s="103" t="s">
        <v>38</v>
      </c>
      <c r="L338" s="80" t="s">
        <v>79</v>
      </c>
      <c r="M338" s="80" t="s">
        <v>48</v>
      </c>
      <c r="N338" s="80">
        <v>59.38</v>
      </c>
      <c r="O338" s="80">
        <v>15.84</v>
      </c>
      <c r="P338" s="77">
        <f t="shared" si="25"/>
        <v>43.540000000000006</v>
      </c>
      <c r="Q338" s="80">
        <v>545</v>
      </c>
      <c r="R338" s="78">
        <f t="shared" si="26"/>
        <v>23729.300000000003</v>
      </c>
      <c r="S338" s="80"/>
      <c r="T338" s="79"/>
      <c r="V338" s="79" t="s">
        <v>24</v>
      </c>
      <c r="W338" s="80">
        <v>145</v>
      </c>
      <c r="X338" s="81">
        <f t="shared" si="27"/>
        <v>6313.3000000000011</v>
      </c>
      <c r="Y338" s="82">
        <v>260</v>
      </c>
      <c r="Z338" s="82">
        <f t="shared" si="28"/>
        <v>11320.400000000001</v>
      </c>
      <c r="AA338" s="79">
        <f t="shared" si="29"/>
        <v>41363.000000000007</v>
      </c>
    </row>
    <row r="339" spans="1:27" s="83" customFormat="1" ht="15.75">
      <c r="A339" s="32">
        <v>336</v>
      </c>
      <c r="B339" s="72">
        <v>45945</v>
      </c>
      <c r="C339" s="72">
        <v>45946</v>
      </c>
      <c r="D339" s="74">
        <v>251016003</v>
      </c>
      <c r="E339" s="74" t="s">
        <v>952</v>
      </c>
      <c r="F339" s="74" t="s">
        <v>953</v>
      </c>
      <c r="G339" s="74">
        <v>39</v>
      </c>
      <c r="H339" s="41">
        <v>115</v>
      </c>
      <c r="I339" s="34" t="s">
        <v>46</v>
      </c>
      <c r="J339" s="34" t="s">
        <v>23</v>
      </c>
      <c r="K339" s="103" t="s">
        <v>38</v>
      </c>
      <c r="L339" s="80" t="s">
        <v>98</v>
      </c>
      <c r="M339" s="80" t="s">
        <v>55</v>
      </c>
      <c r="N339" s="80">
        <v>51.58</v>
      </c>
      <c r="O339" s="80">
        <v>11.8</v>
      </c>
      <c r="P339" s="77">
        <f t="shared" si="25"/>
        <v>39.78</v>
      </c>
      <c r="Q339" s="80">
        <v>445</v>
      </c>
      <c r="R339" s="78">
        <f t="shared" si="26"/>
        <v>17702.100000000002</v>
      </c>
      <c r="S339" s="80"/>
      <c r="T339" s="79"/>
      <c r="V339" s="79" t="s">
        <v>24</v>
      </c>
      <c r="W339" s="80">
        <v>145</v>
      </c>
      <c r="X339" s="81">
        <f t="shared" si="27"/>
        <v>5768.1</v>
      </c>
      <c r="Y339" s="82">
        <v>260</v>
      </c>
      <c r="Z339" s="82">
        <f t="shared" si="28"/>
        <v>10342.800000000001</v>
      </c>
      <c r="AA339" s="79">
        <f t="shared" si="29"/>
        <v>33813.000000000007</v>
      </c>
    </row>
    <row r="340" spans="1:27" s="83" customFormat="1" ht="15.75">
      <c r="A340" s="32">
        <v>337</v>
      </c>
      <c r="B340" s="72">
        <v>45945</v>
      </c>
      <c r="C340" s="72">
        <v>45946</v>
      </c>
      <c r="D340" s="74">
        <v>251016002</v>
      </c>
      <c r="E340" s="74" t="s">
        <v>954</v>
      </c>
      <c r="F340" s="74" t="s">
        <v>955</v>
      </c>
      <c r="G340" s="74">
        <v>45</v>
      </c>
      <c r="H340" s="41">
        <v>115</v>
      </c>
      <c r="I340" s="34" t="s">
        <v>46</v>
      </c>
      <c r="J340" s="34" t="s">
        <v>23</v>
      </c>
      <c r="K340" s="103" t="s">
        <v>38</v>
      </c>
      <c r="L340" s="80" t="s">
        <v>119</v>
      </c>
      <c r="M340" s="80" t="s">
        <v>48</v>
      </c>
      <c r="N340" s="80">
        <v>63.34</v>
      </c>
      <c r="O340" s="80">
        <v>17.96</v>
      </c>
      <c r="P340" s="77">
        <f t="shared" si="25"/>
        <v>45.38</v>
      </c>
      <c r="Q340" s="80">
        <v>545</v>
      </c>
      <c r="R340" s="78">
        <f t="shared" si="26"/>
        <v>24732.100000000002</v>
      </c>
      <c r="S340" s="80"/>
      <c r="T340" s="79"/>
      <c r="V340" s="79" t="s">
        <v>24</v>
      </c>
      <c r="W340" s="80">
        <v>145</v>
      </c>
      <c r="X340" s="81">
        <f t="shared" si="27"/>
        <v>6580.1</v>
      </c>
      <c r="Y340" s="82">
        <v>260</v>
      </c>
      <c r="Z340" s="82">
        <f t="shared" si="28"/>
        <v>11798.800000000001</v>
      </c>
      <c r="AA340" s="79">
        <f t="shared" si="29"/>
        <v>43111.000000000007</v>
      </c>
    </row>
    <row r="341" spans="1:27" s="87" customFormat="1" ht="15.75">
      <c r="A341" s="32">
        <v>338</v>
      </c>
      <c r="B341" s="72">
        <v>45945</v>
      </c>
      <c r="C341" s="72">
        <v>45946</v>
      </c>
      <c r="D341" s="74">
        <v>251016007</v>
      </c>
      <c r="E341" s="74" t="s">
        <v>956</v>
      </c>
      <c r="F341" s="74" t="s">
        <v>957</v>
      </c>
      <c r="G341" s="74">
        <v>50</v>
      </c>
      <c r="H341" s="41">
        <v>115</v>
      </c>
      <c r="I341" s="34" t="s">
        <v>46</v>
      </c>
      <c r="J341" s="34" t="s">
        <v>23</v>
      </c>
      <c r="K341" s="103" t="s">
        <v>38</v>
      </c>
      <c r="L341" s="80" t="s">
        <v>61</v>
      </c>
      <c r="M341" s="80" t="s">
        <v>55</v>
      </c>
      <c r="N341" s="80">
        <v>66.08</v>
      </c>
      <c r="O341" s="80">
        <v>15.84</v>
      </c>
      <c r="P341" s="77">
        <f t="shared" si="25"/>
        <v>50.239999999999995</v>
      </c>
      <c r="Q341" s="80">
        <v>445</v>
      </c>
      <c r="R341" s="78">
        <f t="shared" si="26"/>
        <v>22356.799999999999</v>
      </c>
      <c r="S341" s="80"/>
      <c r="T341" s="79"/>
      <c r="V341" s="79" t="s">
        <v>24</v>
      </c>
      <c r="W341" s="80">
        <v>145</v>
      </c>
      <c r="X341" s="81">
        <f t="shared" si="27"/>
        <v>7284.7999999999993</v>
      </c>
      <c r="Y341" s="82">
        <v>260</v>
      </c>
      <c r="Z341" s="82">
        <f t="shared" si="28"/>
        <v>13062.399999999998</v>
      </c>
      <c r="AA341" s="79">
        <f t="shared" si="29"/>
        <v>42704</v>
      </c>
    </row>
    <row r="342" spans="1:27" s="83" customFormat="1" ht="15.75">
      <c r="A342" s="32">
        <v>339</v>
      </c>
      <c r="B342" s="72">
        <v>45945</v>
      </c>
      <c r="C342" s="72">
        <v>45946</v>
      </c>
      <c r="D342" s="74">
        <v>251016004</v>
      </c>
      <c r="E342" s="74" t="s">
        <v>958</v>
      </c>
      <c r="F342" s="74" t="s">
        <v>959</v>
      </c>
      <c r="G342" s="74">
        <v>51</v>
      </c>
      <c r="H342" s="41">
        <v>115</v>
      </c>
      <c r="I342" s="34" t="s">
        <v>46</v>
      </c>
      <c r="J342" s="34" t="s">
        <v>23</v>
      </c>
      <c r="K342" s="103" t="s">
        <v>38</v>
      </c>
      <c r="L342" s="80" t="s">
        <v>193</v>
      </c>
      <c r="M342" s="80" t="s">
        <v>48</v>
      </c>
      <c r="N342" s="80">
        <v>66.760000000000005</v>
      </c>
      <c r="O342" s="80">
        <v>15.66</v>
      </c>
      <c r="P342" s="77">
        <f t="shared" si="25"/>
        <v>51.100000000000009</v>
      </c>
      <c r="Q342" s="80">
        <v>545</v>
      </c>
      <c r="R342" s="78">
        <f t="shared" si="26"/>
        <v>27849.500000000004</v>
      </c>
      <c r="S342" s="80"/>
      <c r="T342" s="79"/>
      <c r="V342" s="79" t="s">
        <v>24</v>
      </c>
      <c r="W342" s="80">
        <v>145</v>
      </c>
      <c r="X342" s="81">
        <f t="shared" si="27"/>
        <v>7409.5000000000009</v>
      </c>
      <c r="Y342" s="82">
        <v>260</v>
      </c>
      <c r="Z342" s="82">
        <f t="shared" si="28"/>
        <v>13286.000000000002</v>
      </c>
      <c r="AA342" s="79">
        <f t="shared" si="29"/>
        <v>48545.000000000007</v>
      </c>
    </row>
    <row r="343" spans="1:27" s="83" customFormat="1" ht="15.75">
      <c r="A343" s="32">
        <v>340</v>
      </c>
      <c r="B343" s="72">
        <v>45945</v>
      </c>
      <c r="C343" s="72">
        <v>45946</v>
      </c>
      <c r="D343" s="74">
        <v>251016009</v>
      </c>
      <c r="E343" s="74" t="s">
        <v>960</v>
      </c>
      <c r="F343" s="74" t="s">
        <v>961</v>
      </c>
      <c r="G343" s="74">
        <v>39</v>
      </c>
      <c r="H343" s="41">
        <v>115</v>
      </c>
      <c r="I343" s="34" t="s">
        <v>46</v>
      </c>
      <c r="J343" s="34" t="s">
        <v>23</v>
      </c>
      <c r="K343" s="103" t="s">
        <v>38</v>
      </c>
      <c r="L343" s="80" t="s">
        <v>142</v>
      </c>
      <c r="M343" s="80" t="s">
        <v>55</v>
      </c>
      <c r="N343" s="80">
        <v>51.24</v>
      </c>
      <c r="O343" s="80">
        <v>11.8</v>
      </c>
      <c r="P343" s="77">
        <f t="shared" si="25"/>
        <v>39.44</v>
      </c>
      <c r="Q343" s="80">
        <v>445</v>
      </c>
      <c r="R343" s="78">
        <f t="shared" si="26"/>
        <v>17550.8</v>
      </c>
      <c r="S343" s="80"/>
      <c r="T343" s="79"/>
      <c r="V343" s="79" t="s">
        <v>24</v>
      </c>
      <c r="W343" s="80">
        <v>145</v>
      </c>
      <c r="X343" s="81">
        <f t="shared" si="27"/>
        <v>5718.7999999999993</v>
      </c>
      <c r="Y343" s="82">
        <v>260</v>
      </c>
      <c r="Z343" s="82">
        <f t="shared" si="28"/>
        <v>10254.4</v>
      </c>
      <c r="AA343" s="79">
        <f t="shared" si="29"/>
        <v>33524</v>
      </c>
    </row>
    <row r="344" spans="1:27" s="83" customFormat="1" ht="15.75">
      <c r="A344" s="32">
        <v>341</v>
      </c>
      <c r="B344" s="72">
        <v>45945</v>
      </c>
      <c r="C344" s="72">
        <v>45946</v>
      </c>
      <c r="D344" s="74">
        <v>251016005</v>
      </c>
      <c r="E344" s="74" t="s">
        <v>962</v>
      </c>
      <c r="F344" s="74" t="s">
        <v>963</v>
      </c>
      <c r="G344" s="74">
        <v>48</v>
      </c>
      <c r="H344" s="41">
        <v>115</v>
      </c>
      <c r="I344" s="34" t="s">
        <v>46</v>
      </c>
      <c r="J344" s="34" t="s">
        <v>23</v>
      </c>
      <c r="K344" s="103" t="s">
        <v>38</v>
      </c>
      <c r="L344" s="80" t="s">
        <v>236</v>
      </c>
      <c r="M344" s="80" t="s">
        <v>48</v>
      </c>
      <c r="N344" s="80">
        <v>66.38</v>
      </c>
      <c r="O344" s="80">
        <v>18.260000000000002</v>
      </c>
      <c r="P344" s="77">
        <f t="shared" si="25"/>
        <v>48.11999999999999</v>
      </c>
      <c r="Q344" s="80">
        <v>545</v>
      </c>
      <c r="R344" s="78">
        <f t="shared" si="26"/>
        <v>26225.399999999994</v>
      </c>
      <c r="S344" s="80"/>
      <c r="T344" s="79"/>
      <c r="V344" s="79" t="s">
        <v>24</v>
      </c>
      <c r="W344" s="80">
        <v>145</v>
      </c>
      <c r="X344" s="81">
        <f t="shared" si="27"/>
        <v>6977.3999999999987</v>
      </c>
      <c r="Y344" s="82">
        <v>260</v>
      </c>
      <c r="Z344" s="79">
        <f t="shared" si="28"/>
        <v>12511.199999999997</v>
      </c>
      <c r="AA344" s="79">
        <f t="shared" si="29"/>
        <v>45713.999999999993</v>
      </c>
    </row>
    <row r="345" spans="1:27" s="83" customFormat="1" ht="15.75">
      <c r="A345" s="32">
        <v>342</v>
      </c>
      <c r="B345" s="72">
        <v>45945</v>
      </c>
      <c r="C345" s="72">
        <v>45946</v>
      </c>
      <c r="D345" s="74">
        <v>251016008</v>
      </c>
      <c r="E345" s="74" t="s">
        <v>964</v>
      </c>
      <c r="F345" s="74" t="s">
        <v>965</v>
      </c>
      <c r="G345" s="74">
        <v>40</v>
      </c>
      <c r="H345" s="41">
        <v>115</v>
      </c>
      <c r="I345" s="34" t="s">
        <v>46</v>
      </c>
      <c r="J345" s="34" t="s">
        <v>23</v>
      </c>
      <c r="K345" s="103" t="s">
        <v>38</v>
      </c>
      <c r="L345" s="80" t="s">
        <v>342</v>
      </c>
      <c r="M345" s="80" t="s">
        <v>55</v>
      </c>
      <c r="N345" s="80">
        <v>52.28</v>
      </c>
      <c r="O345" s="80">
        <v>11.32</v>
      </c>
      <c r="P345" s="77">
        <f t="shared" si="25"/>
        <v>40.96</v>
      </c>
      <c r="Q345" s="80">
        <v>445</v>
      </c>
      <c r="R345" s="78">
        <f t="shared" si="26"/>
        <v>18227.2</v>
      </c>
      <c r="S345" s="80"/>
      <c r="T345" s="79"/>
      <c r="V345" s="79" t="s">
        <v>24</v>
      </c>
      <c r="W345" s="80">
        <v>145</v>
      </c>
      <c r="X345" s="81">
        <f t="shared" si="27"/>
        <v>5939.2</v>
      </c>
      <c r="Y345" s="82">
        <v>260</v>
      </c>
      <c r="Z345" s="79">
        <f t="shared" si="28"/>
        <v>10649.6</v>
      </c>
      <c r="AA345" s="79">
        <f t="shared" si="29"/>
        <v>34816</v>
      </c>
    </row>
    <row r="346" spans="1:27" s="83" customFormat="1" ht="15.75">
      <c r="A346" s="32">
        <v>343</v>
      </c>
      <c r="B346" s="72">
        <v>45945</v>
      </c>
      <c r="C346" s="72">
        <v>45946</v>
      </c>
      <c r="D346" s="74">
        <v>251016006</v>
      </c>
      <c r="E346" s="74" t="s">
        <v>966</v>
      </c>
      <c r="F346" s="74" t="s">
        <v>967</v>
      </c>
      <c r="G346" s="74">
        <v>48</v>
      </c>
      <c r="H346" s="41">
        <v>115</v>
      </c>
      <c r="I346" s="34" t="s">
        <v>46</v>
      </c>
      <c r="J346" s="34" t="s">
        <v>23</v>
      </c>
      <c r="K346" s="103" t="s">
        <v>38</v>
      </c>
      <c r="L346" s="80" t="s">
        <v>64</v>
      </c>
      <c r="M346" s="80" t="s">
        <v>48</v>
      </c>
      <c r="N346" s="80">
        <v>65</v>
      </c>
      <c r="O346" s="80">
        <v>16.440000000000001</v>
      </c>
      <c r="P346" s="77">
        <f t="shared" si="25"/>
        <v>48.56</v>
      </c>
      <c r="Q346" s="80">
        <v>545</v>
      </c>
      <c r="R346" s="78">
        <f t="shared" si="26"/>
        <v>26465.200000000001</v>
      </c>
      <c r="S346" s="80"/>
      <c r="T346" s="79"/>
      <c r="V346" s="79" t="s">
        <v>24</v>
      </c>
      <c r="W346" s="80">
        <v>145</v>
      </c>
      <c r="X346" s="81">
        <f t="shared" si="27"/>
        <v>7041.2000000000007</v>
      </c>
      <c r="Y346" s="82">
        <v>260</v>
      </c>
      <c r="Z346" s="82">
        <f t="shared" si="28"/>
        <v>12625.6</v>
      </c>
      <c r="AA346" s="79">
        <f t="shared" si="29"/>
        <v>46132</v>
      </c>
    </row>
    <row r="347" spans="1:27" s="83" customFormat="1" ht="15.75">
      <c r="A347" s="32">
        <v>344</v>
      </c>
      <c r="B347" s="72">
        <v>45945</v>
      </c>
      <c r="C347" s="72">
        <v>45946</v>
      </c>
      <c r="D347" s="74">
        <v>251016010</v>
      </c>
      <c r="E347" s="74" t="s">
        <v>968</v>
      </c>
      <c r="F347" s="74" t="s">
        <v>969</v>
      </c>
      <c r="G347" s="74">
        <v>51</v>
      </c>
      <c r="H347" s="41">
        <v>115</v>
      </c>
      <c r="I347" s="34" t="s">
        <v>46</v>
      </c>
      <c r="J347" s="34" t="s">
        <v>23</v>
      </c>
      <c r="K347" s="103" t="s">
        <v>38</v>
      </c>
      <c r="L347" s="80" t="s">
        <v>58</v>
      </c>
      <c r="M347" s="80" t="s">
        <v>55</v>
      </c>
      <c r="N347" s="80">
        <v>67.98</v>
      </c>
      <c r="O347" s="80">
        <v>16.22</v>
      </c>
      <c r="P347" s="77">
        <f t="shared" si="25"/>
        <v>51.760000000000005</v>
      </c>
      <c r="Q347" s="80">
        <v>445</v>
      </c>
      <c r="R347" s="78">
        <f t="shared" si="26"/>
        <v>23033.200000000001</v>
      </c>
      <c r="S347" s="80"/>
      <c r="T347" s="79"/>
      <c r="V347" s="79" t="s">
        <v>24</v>
      </c>
      <c r="W347" s="80">
        <v>145</v>
      </c>
      <c r="X347" s="81">
        <f t="shared" si="27"/>
        <v>7505.2000000000007</v>
      </c>
      <c r="Y347" s="82">
        <v>260</v>
      </c>
      <c r="Z347" s="82">
        <f t="shared" si="28"/>
        <v>13457.600000000002</v>
      </c>
      <c r="AA347" s="79">
        <f t="shared" si="29"/>
        <v>43996</v>
      </c>
    </row>
    <row r="348" spans="1:27" s="83" customFormat="1" ht="15.75">
      <c r="A348" s="32">
        <v>345</v>
      </c>
      <c r="B348" s="72">
        <v>45945</v>
      </c>
      <c r="C348" s="72">
        <v>45946</v>
      </c>
      <c r="D348" s="74">
        <v>251016011</v>
      </c>
      <c r="E348" s="74" t="s">
        <v>970</v>
      </c>
      <c r="F348" s="74" t="s">
        <v>971</v>
      </c>
      <c r="G348" s="74">
        <v>33</v>
      </c>
      <c r="H348" s="33">
        <v>24</v>
      </c>
      <c r="I348" s="34" t="s">
        <v>37</v>
      </c>
      <c r="J348" s="35" t="s">
        <v>23</v>
      </c>
      <c r="K348" s="36" t="s">
        <v>38</v>
      </c>
      <c r="L348" s="97" t="s">
        <v>101</v>
      </c>
      <c r="M348" s="80" t="s">
        <v>40</v>
      </c>
      <c r="N348" s="80">
        <v>45.14</v>
      </c>
      <c r="O348" s="104">
        <v>11.5</v>
      </c>
      <c r="P348" s="77">
        <f t="shared" si="25"/>
        <v>33.64</v>
      </c>
      <c r="Q348" s="80">
        <v>335</v>
      </c>
      <c r="R348" s="78">
        <f t="shared" si="26"/>
        <v>11269.4</v>
      </c>
      <c r="S348" s="80"/>
      <c r="T348" s="79"/>
      <c r="V348" s="79" t="s">
        <v>24</v>
      </c>
      <c r="W348" s="80">
        <v>145</v>
      </c>
      <c r="X348" s="81">
        <f t="shared" si="27"/>
        <v>4877.8</v>
      </c>
      <c r="Y348" s="82">
        <v>260</v>
      </c>
      <c r="Z348" s="82">
        <f t="shared" si="28"/>
        <v>8746.4</v>
      </c>
      <c r="AA348" s="79">
        <f t="shared" si="29"/>
        <v>24893.599999999999</v>
      </c>
    </row>
    <row r="349" spans="1:27" s="87" customFormat="1" ht="15.75">
      <c r="A349" s="32">
        <v>346</v>
      </c>
      <c r="B349" s="72">
        <v>45945</v>
      </c>
      <c r="C349" s="72">
        <v>45946</v>
      </c>
      <c r="D349" s="74">
        <v>251016012</v>
      </c>
      <c r="E349" s="74" t="s">
        <v>972</v>
      </c>
      <c r="F349" s="74" t="s">
        <v>973</v>
      </c>
      <c r="G349" s="74">
        <v>43</v>
      </c>
      <c r="H349" s="33">
        <v>24</v>
      </c>
      <c r="I349" s="34" t="s">
        <v>37</v>
      </c>
      <c r="J349" s="35" t="s">
        <v>23</v>
      </c>
      <c r="K349" s="36" t="s">
        <v>38</v>
      </c>
      <c r="L349" s="97" t="s">
        <v>67</v>
      </c>
      <c r="M349" s="80" t="s">
        <v>40</v>
      </c>
      <c r="N349" s="80">
        <v>59.06</v>
      </c>
      <c r="O349" s="80">
        <v>15.82</v>
      </c>
      <c r="P349" s="77">
        <f t="shared" si="25"/>
        <v>43.24</v>
      </c>
      <c r="Q349" s="80">
        <v>335</v>
      </c>
      <c r="R349" s="78">
        <f t="shared" si="26"/>
        <v>14485.400000000001</v>
      </c>
      <c r="S349" s="80"/>
      <c r="T349" s="79"/>
      <c r="V349" s="79" t="s">
        <v>24</v>
      </c>
      <c r="W349" s="80">
        <v>145</v>
      </c>
      <c r="X349" s="81">
        <f t="shared" si="27"/>
        <v>6269.8</v>
      </c>
      <c r="Y349" s="82">
        <v>260</v>
      </c>
      <c r="Z349" s="82">
        <f t="shared" si="28"/>
        <v>11242.4</v>
      </c>
      <c r="AA349" s="79">
        <f t="shared" si="29"/>
        <v>31997.599999999999</v>
      </c>
    </row>
    <row r="350" spans="1:27" s="83" customFormat="1" ht="15.75">
      <c r="A350" s="32">
        <v>347</v>
      </c>
      <c r="B350" s="72">
        <v>45945</v>
      </c>
      <c r="C350" s="72">
        <v>45946</v>
      </c>
      <c r="D350" s="74">
        <v>251016013</v>
      </c>
      <c r="E350" s="74" t="s">
        <v>974</v>
      </c>
      <c r="F350" s="74" t="s">
        <v>975</v>
      </c>
      <c r="G350" s="74">
        <v>32</v>
      </c>
      <c r="H350" s="41">
        <v>96</v>
      </c>
      <c r="I350" s="53" t="s">
        <v>85</v>
      </c>
      <c r="J350" s="105" t="s">
        <v>23</v>
      </c>
      <c r="K350" s="43" t="s">
        <v>38</v>
      </c>
      <c r="L350" s="97" t="s">
        <v>190</v>
      </c>
      <c r="M350" s="80" t="s">
        <v>48</v>
      </c>
      <c r="N350" s="80">
        <v>43.86</v>
      </c>
      <c r="O350" s="80">
        <v>11.78</v>
      </c>
      <c r="P350" s="77">
        <f t="shared" si="25"/>
        <v>32.08</v>
      </c>
      <c r="Q350" s="80">
        <v>525</v>
      </c>
      <c r="R350" s="78">
        <f t="shared" si="26"/>
        <v>16842</v>
      </c>
      <c r="S350" s="80"/>
      <c r="T350" s="79"/>
      <c r="V350" s="79" t="s">
        <v>24</v>
      </c>
      <c r="W350" s="74">
        <v>145</v>
      </c>
      <c r="X350" s="81">
        <f t="shared" si="27"/>
        <v>4651.5999999999995</v>
      </c>
      <c r="Y350" s="82"/>
      <c r="Z350" s="82">
        <f t="shared" si="28"/>
        <v>0</v>
      </c>
      <c r="AA350" s="79">
        <f t="shared" si="29"/>
        <v>21493.599999999999</v>
      </c>
    </row>
    <row r="351" spans="1:27" s="117" customFormat="1" ht="15.75">
      <c r="A351" s="32">
        <v>348</v>
      </c>
      <c r="B351" s="106">
        <v>45946</v>
      </c>
      <c r="C351" s="106">
        <v>45946</v>
      </c>
      <c r="D351" s="107" t="s">
        <v>976</v>
      </c>
      <c r="E351" s="108"/>
      <c r="F351" s="108"/>
      <c r="G351" s="108"/>
      <c r="H351" s="109"/>
      <c r="I351" s="108" t="s">
        <v>607</v>
      </c>
      <c r="J351" s="110" t="s">
        <v>23</v>
      </c>
      <c r="K351" s="110" t="s">
        <v>30</v>
      </c>
      <c r="L351" s="108" t="s">
        <v>608</v>
      </c>
      <c r="M351" s="108" t="s">
        <v>31</v>
      </c>
      <c r="N351" s="111">
        <v>8.94</v>
      </c>
      <c r="O351" s="111">
        <v>3.38</v>
      </c>
      <c r="P351" s="112">
        <f t="shared" si="25"/>
        <v>5.56</v>
      </c>
      <c r="Q351" s="111">
        <v>150</v>
      </c>
      <c r="R351" s="113">
        <f t="shared" si="26"/>
        <v>833.99999999999989</v>
      </c>
      <c r="S351" s="111">
        <v>834</v>
      </c>
      <c r="T351" s="114"/>
      <c r="V351" s="114" t="s">
        <v>24</v>
      </c>
      <c r="W351" s="111"/>
      <c r="X351" s="115">
        <f t="shared" si="27"/>
        <v>0</v>
      </c>
      <c r="Y351" s="116"/>
      <c r="Z351" s="114">
        <f t="shared" si="28"/>
        <v>0</v>
      </c>
      <c r="AA351" s="114">
        <f t="shared" si="29"/>
        <v>833.99999999999989</v>
      </c>
    </row>
    <row r="352" spans="1:27" s="117" customFormat="1" ht="15.75">
      <c r="A352" s="32">
        <v>349</v>
      </c>
      <c r="B352" s="106">
        <v>45946</v>
      </c>
      <c r="C352" s="106">
        <v>45946</v>
      </c>
      <c r="D352" s="107" t="s">
        <v>977</v>
      </c>
      <c r="E352" s="108"/>
      <c r="F352" s="108"/>
      <c r="G352" s="108"/>
      <c r="H352" s="109"/>
      <c r="I352" s="108" t="s">
        <v>607</v>
      </c>
      <c r="J352" s="110" t="s">
        <v>23</v>
      </c>
      <c r="K352" s="110" t="s">
        <v>30</v>
      </c>
      <c r="L352" s="107" t="s">
        <v>978</v>
      </c>
      <c r="M352" s="108" t="s">
        <v>31</v>
      </c>
      <c r="N352" s="111">
        <v>9.18</v>
      </c>
      <c r="O352" s="111">
        <v>3.44</v>
      </c>
      <c r="P352" s="118">
        <f t="shared" si="25"/>
        <v>5.74</v>
      </c>
      <c r="Q352" s="111">
        <v>150</v>
      </c>
      <c r="R352" s="113">
        <f t="shared" si="26"/>
        <v>861</v>
      </c>
      <c r="S352" s="111">
        <v>861</v>
      </c>
      <c r="T352" s="116"/>
      <c r="V352" s="114" t="s">
        <v>24</v>
      </c>
      <c r="W352" s="111"/>
      <c r="X352" s="115">
        <f t="shared" si="27"/>
        <v>0</v>
      </c>
      <c r="Y352" s="116"/>
      <c r="Z352" s="116">
        <f t="shared" si="28"/>
        <v>0</v>
      </c>
      <c r="AA352" s="114">
        <f t="shared" si="29"/>
        <v>861</v>
      </c>
    </row>
    <row r="353" spans="1:38" s="117" customFormat="1" ht="15.75">
      <c r="A353" s="32">
        <v>350</v>
      </c>
      <c r="B353" s="106">
        <v>45946</v>
      </c>
      <c r="C353" s="106">
        <v>45946</v>
      </c>
      <c r="D353" s="107" t="s">
        <v>979</v>
      </c>
      <c r="E353" s="108"/>
      <c r="F353" s="108"/>
      <c r="G353" s="108"/>
      <c r="H353" s="119"/>
      <c r="I353" s="108" t="s">
        <v>980</v>
      </c>
      <c r="J353" s="110" t="s">
        <v>23</v>
      </c>
      <c r="K353" s="110" t="s">
        <v>30</v>
      </c>
      <c r="L353" s="107" t="s">
        <v>981</v>
      </c>
      <c r="M353" s="108" t="s">
        <v>31</v>
      </c>
      <c r="N353" s="111">
        <v>9.14</v>
      </c>
      <c r="O353" s="111">
        <v>3.6</v>
      </c>
      <c r="P353" s="112">
        <f t="shared" si="25"/>
        <v>5.5400000000000009</v>
      </c>
      <c r="Q353" s="111">
        <v>150</v>
      </c>
      <c r="R353" s="113">
        <f t="shared" si="26"/>
        <v>831.00000000000011</v>
      </c>
      <c r="S353" s="111">
        <v>831</v>
      </c>
      <c r="T353" s="114"/>
      <c r="V353" s="114" t="s">
        <v>24</v>
      </c>
      <c r="W353" s="111"/>
      <c r="X353" s="115">
        <f t="shared" si="27"/>
        <v>0</v>
      </c>
      <c r="Y353" s="116"/>
      <c r="Z353" s="116">
        <f t="shared" si="28"/>
        <v>0</v>
      </c>
      <c r="AA353" s="114">
        <f t="shared" si="29"/>
        <v>831.00000000000011</v>
      </c>
    </row>
    <row r="354" spans="1:38" s="117" customFormat="1" ht="15.75">
      <c r="A354" s="32">
        <v>351</v>
      </c>
      <c r="B354" s="106">
        <v>45946</v>
      </c>
      <c r="C354" s="106">
        <v>45946</v>
      </c>
      <c r="D354" s="107" t="s">
        <v>982</v>
      </c>
      <c r="E354" s="108"/>
      <c r="F354" s="108"/>
      <c r="G354" s="108"/>
      <c r="H354" s="109"/>
      <c r="I354" s="108" t="s">
        <v>607</v>
      </c>
      <c r="J354" s="110" t="s">
        <v>23</v>
      </c>
      <c r="K354" s="110" t="s">
        <v>30</v>
      </c>
      <c r="L354" s="108" t="s">
        <v>608</v>
      </c>
      <c r="M354" s="108" t="s">
        <v>31</v>
      </c>
      <c r="N354" s="111">
        <v>8.84</v>
      </c>
      <c r="O354" s="111">
        <v>3.36</v>
      </c>
      <c r="P354" s="112">
        <f t="shared" si="25"/>
        <v>5.48</v>
      </c>
      <c r="Q354" s="111">
        <v>150</v>
      </c>
      <c r="R354" s="113">
        <f t="shared" si="26"/>
        <v>822.00000000000011</v>
      </c>
      <c r="S354" s="111">
        <v>822</v>
      </c>
      <c r="T354" s="114"/>
      <c r="V354" s="114" t="s">
        <v>24</v>
      </c>
      <c r="W354" s="111"/>
      <c r="X354" s="115">
        <f t="shared" si="27"/>
        <v>0</v>
      </c>
      <c r="Y354" s="116"/>
      <c r="Z354" s="116">
        <f t="shared" si="28"/>
        <v>0</v>
      </c>
      <c r="AA354" s="114">
        <f t="shared" si="29"/>
        <v>822.00000000000011</v>
      </c>
    </row>
    <row r="355" spans="1:38" s="120" customFormat="1" ht="15.75">
      <c r="A355" s="32">
        <v>352</v>
      </c>
      <c r="B355" s="106">
        <v>45946</v>
      </c>
      <c r="C355" s="106">
        <v>45946</v>
      </c>
      <c r="D355" s="107" t="s">
        <v>983</v>
      </c>
      <c r="E355" s="108"/>
      <c r="F355" s="108"/>
      <c r="G355" s="108"/>
      <c r="H355" s="109"/>
      <c r="I355" s="108" t="s">
        <v>607</v>
      </c>
      <c r="J355" s="110" t="s">
        <v>23</v>
      </c>
      <c r="K355" s="110" t="s">
        <v>30</v>
      </c>
      <c r="L355" s="107" t="s">
        <v>978</v>
      </c>
      <c r="M355" s="108" t="s">
        <v>31</v>
      </c>
      <c r="N355" s="111">
        <v>9.06</v>
      </c>
      <c r="O355" s="111">
        <v>3.4</v>
      </c>
      <c r="P355" s="112">
        <f t="shared" si="25"/>
        <v>5.66</v>
      </c>
      <c r="Q355" s="111">
        <v>150</v>
      </c>
      <c r="R355" s="113">
        <f t="shared" si="26"/>
        <v>849</v>
      </c>
      <c r="S355" s="111">
        <v>849</v>
      </c>
      <c r="T355" s="114"/>
      <c r="V355" s="114" t="s">
        <v>24</v>
      </c>
      <c r="W355" s="111"/>
      <c r="X355" s="115">
        <f t="shared" si="27"/>
        <v>0</v>
      </c>
      <c r="Y355" s="116"/>
      <c r="Z355" s="116">
        <f t="shared" si="28"/>
        <v>0</v>
      </c>
      <c r="AA355" s="114">
        <f t="shared" si="29"/>
        <v>849</v>
      </c>
    </row>
    <row r="356" spans="1:38" s="117" customFormat="1" ht="15.75">
      <c r="A356" s="32">
        <v>353</v>
      </c>
      <c r="B356" s="106">
        <v>45946</v>
      </c>
      <c r="C356" s="106">
        <v>45946</v>
      </c>
      <c r="D356" s="107">
        <v>251016014</v>
      </c>
      <c r="E356" s="108" t="s">
        <v>984</v>
      </c>
      <c r="F356" s="108" t="s">
        <v>985</v>
      </c>
      <c r="G356" s="108">
        <v>55</v>
      </c>
      <c r="H356" s="121">
        <v>115</v>
      </c>
      <c r="I356" s="122" t="s">
        <v>46</v>
      </c>
      <c r="J356" s="123" t="s">
        <v>23</v>
      </c>
      <c r="K356" s="124" t="s">
        <v>38</v>
      </c>
      <c r="L356" s="107" t="s">
        <v>172</v>
      </c>
      <c r="M356" s="108" t="s">
        <v>48</v>
      </c>
      <c r="N356" s="111">
        <v>74.180000000000007</v>
      </c>
      <c r="O356" s="111">
        <v>17.559999999999999</v>
      </c>
      <c r="P356" s="112">
        <f t="shared" si="25"/>
        <v>56.620000000000005</v>
      </c>
      <c r="Q356" s="111">
        <v>545</v>
      </c>
      <c r="R356" s="113">
        <f t="shared" si="26"/>
        <v>30857.9</v>
      </c>
      <c r="S356" s="111"/>
      <c r="T356" s="114"/>
      <c r="V356" s="114" t="s">
        <v>24</v>
      </c>
      <c r="W356" s="111">
        <v>145</v>
      </c>
      <c r="X356" s="115">
        <f t="shared" si="27"/>
        <v>8209.9000000000015</v>
      </c>
      <c r="Y356" s="116">
        <v>260</v>
      </c>
      <c r="Z356" s="114">
        <f t="shared" si="28"/>
        <v>14721.2</v>
      </c>
      <c r="AA356" s="114">
        <f t="shared" si="29"/>
        <v>53789</v>
      </c>
    </row>
    <row r="357" spans="1:38" s="117" customFormat="1" ht="15.75">
      <c r="A357" s="32">
        <v>354</v>
      </c>
      <c r="B357" s="106">
        <v>45946</v>
      </c>
      <c r="C357" s="106">
        <v>45946</v>
      </c>
      <c r="D357" s="107">
        <v>251016015</v>
      </c>
      <c r="E357" s="108" t="s">
        <v>986</v>
      </c>
      <c r="F357" s="108" t="s">
        <v>987</v>
      </c>
      <c r="G357" s="108">
        <v>36</v>
      </c>
      <c r="H357" s="121">
        <v>115</v>
      </c>
      <c r="I357" s="122" t="s">
        <v>46</v>
      </c>
      <c r="J357" s="123" t="s">
        <v>23</v>
      </c>
      <c r="K357" s="124" t="s">
        <v>38</v>
      </c>
      <c r="L357" s="107" t="s">
        <v>113</v>
      </c>
      <c r="M357" s="108" t="s">
        <v>55</v>
      </c>
      <c r="N357" s="111">
        <v>50.36</v>
      </c>
      <c r="O357" s="111">
        <v>11.8</v>
      </c>
      <c r="P357" s="112">
        <f t="shared" si="25"/>
        <v>38.56</v>
      </c>
      <c r="Q357" s="111">
        <v>445</v>
      </c>
      <c r="R357" s="113">
        <f t="shared" si="26"/>
        <v>17159.2</v>
      </c>
      <c r="S357" s="111"/>
      <c r="T357" s="114"/>
      <c r="V357" s="114" t="s">
        <v>24</v>
      </c>
      <c r="W357" s="111">
        <v>145</v>
      </c>
      <c r="X357" s="115">
        <f t="shared" si="27"/>
        <v>5591.2000000000007</v>
      </c>
      <c r="Y357" s="116">
        <v>260</v>
      </c>
      <c r="Z357" s="114">
        <f t="shared" si="28"/>
        <v>10025.6</v>
      </c>
      <c r="AA357" s="114">
        <f t="shared" si="29"/>
        <v>32776</v>
      </c>
    </row>
    <row r="358" spans="1:38" s="117" customFormat="1" ht="15.75">
      <c r="A358" s="32">
        <v>355</v>
      </c>
      <c r="B358" s="106">
        <v>45946</v>
      </c>
      <c r="C358" s="106">
        <v>45946</v>
      </c>
      <c r="D358" s="107">
        <v>251016016</v>
      </c>
      <c r="E358" s="108" t="s">
        <v>988</v>
      </c>
      <c r="F358" s="108" t="s">
        <v>989</v>
      </c>
      <c r="G358" s="108">
        <v>30</v>
      </c>
      <c r="H358" s="121">
        <v>115</v>
      </c>
      <c r="I358" s="122" t="s">
        <v>46</v>
      </c>
      <c r="J358" s="123" t="s">
        <v>23</v>
      </c>
      <c r="K358" s="124" t="s">
        <v>38</v>
      </c>
      <c r="L358" s="107" t="s">
        <v>39</v>
      </c>
      <c r="M358" s="108" t="s">
        <v>40</v>
      </c>
      <c r="N358" s="125">
        <v>41.94</v>
      </c>
      <c r="O358" s="111">
        <v>10.48</v>
      </c>
      <c r="P358" s="112">
        <f t="shared" si="25"/>
        <v>31.459999999999997</v>
      </c>
      <c r="Q358" s="111">
        <v>315</v>
      </c>
      <c r="R358" s="113">
        <f t="shared" si="26"/>
        <v>9909.9</v>
      </c>
      <c r="S358" s="111"/>
      <c r="T358" s="114"/>
      <c r="V358" s="114" t="s">
        <v>24</v>
      </c>
      <c r="W358" s="111">
        <v>145</v>
      </c>
      <c r="X358" s="115">
        <f t="shared" si="27"/>
        <v>4561.7</v>
      </c>
      <c r="Y358" s="116">
        <v>260</v>
      </c>
      <c r="Z358" s="116">
        <f t="shared" si="28"/>
        <v>8179.5999999999995</v>
      </c>
      <c r="AA358" s="114">
        <f t="shared" si="29"/>
        <v>22651.199999999997</v>
      </c>
    </row>
    <row r="359" spans="1:38" s="117" customFormat="1" ht="15.75">
      <c r="A359" s="32">
        <v>356</v>
      </c>
      <c r="B359" s="106">
        <v>45946</v>
      </c>
      <c r="C359" s="106">
        <v>45946</v>
      </c>
      <c r="D359" s="107">
        <v>251016017</v>
      </c>
      <c r="E359" s="108" t="s">
        <v>990</v>
      </c>
      <c r="F359" s="108" t="s">
        <v>991</v>
      </c>
      <c r="G359" s="108">
        <v>34</v>
      </c>
      <c r="H359" s="121">
        <v>115</v>
      </c>
      <c r="I359" s="122" t="s">
        <v>46</v>
      </c>
      <c r="J359" s="123" t="s">
        <v>23</v>
      </c>
      <c r="K359" s="124" t="s">
        <v>38</v>
      </c>
      <c r="L359" s="107" t="s">
        <v>311</v>
      </c>
      <c r="M359" s="108" t="s">
        <v>48</v>
      </c>
      <c r="N359" s="111">
        <v>47.12</v>
      </c>
      <c r="O359" s="111">
        <v>11.48</v>
      </c>
      <c r="P359" s="112">
        <f t="shared" si="25"/>
        <v>35.64</v>
      </c>
      <c r="Q359" s="111">
        <v>545</v>
      </c>
      <c r="R359" s="113">
        <f t="shared" si="26"/>
        <v>19423.8</v>
      </c>
      <c r="S359" s="111"/>
      <c r="T359" s="114"/>
      <c r="V359" s="114" t="s">
        <v>24</v>
      </c>
      <c r="W359" s="111">
        <v>145</v>
      </c>
      <c r="X359" s="115">
        <f t="shared" si="27"/>
        <v>5167.8</v>
      </c>
      <c r="Y359" s="116">
        <v>260</v>
      </c>
      <c r="Z359" s="116">
        <f t="shared" si="28"/>
        <v>9266.4</v>
      </c>
      <c r="AA359" s="114">
        <f t="shared" si="29"/>
        <v>33858</v>
      </c>
    </row>
    <row r="360" spans="1:38" s="117" customFormat="1" ht="17.100000000000001" customHeight="1">
      <c r="A360" s="32">
        <v>357</v>
      </c>
      <c r="B360" s="106">
        <v>45946</v>
      </c>
      <c r="C360" s="106">
        <v>45946</v>
      </c>
      <c r="D360" s="107">
        <v>251016018</v>
      </c>
      <c r="E360" s="108" t="s">
        <v>992</v>
      </c>
      <c r="F360" s="108" t="s">
        <v>993</v>
      </c>
      <c r="G360" s="108">
        <v>43</v>
      </c>
      <c r="H360" s="121">
        <v>115</v>
      </c>
      <c r="I360" s="122" t="s">
        <v>46</v>
      </c>
      <c r="J360" s="123" t="s">
        <v>23</v>
      </c>
      <c r="K360" s="124" t="s">
        <v>38</v>
      </c>
      <c r="L360" s="107" t="s">
        <v>125</v>
      </c>
      <c r="M360" s="108" t="s">
        <v>48</v>
      </c>
      <c r="N360" s="111">
        <v>60.42</v>
      </c>
      <c r="O360" s="111">
        <v>15.76</v>
      </c>
      <c r="P360" s="112">
        <f t="shared" si="25"/>
        <v>44.660000000000004</v>
      </c>
      <c r="Q360" s="111">
        <v>545</v>
      </c>
      <c r="R360" s="113">
        <f t="shared" si="26"/>
        <v>24339.7</v>
      </c>
      <c r="S360" s="111"/>
      <c r="T360" s="114"/>
      <c r="V360" s="114" t="s">
        <v>24</v>
      </c>
      <c r="W360" s="111">
        <v>145</v>
      </c>
      <c r="X360" s="115">
        <f t="shared" si="27"/>
        <v>6475.7000000000007</v>
      </c>
      <c r="Y360" s="116">
        <v>260</v>
      </c>
      <c r="Z360" s="116">
        <f t="shared" si="28"/>
        <v>11611.6</v>
      </c>
      <c r="AA360" s="114">
        <f t="shared" si="29"/>
        <v>42427</v>
      </c>
      <c r="AB360" s="127"/>
      <c r="AC360" s="126"/>
      <c r="AD360" s="128"/>
      <c r="AE360" s="129"/>
      <c r="AF360" s="126"/>
      <c r="AG360" s="129"/>
      <c r="AH360" s="126"/>
      <c r="AI360" s="128"/>
      <c r="AJ360" s="126"/>
      <c r="AK360" s="128"/>
      <c r="AL360" s="128"/>
    </row>
    <row r="361" spans="1:38" s="117" customFormat="1" ht="15.75">
      <c r="A361" s="32">
        <v>358</v>
      </c>
      <c r="B361" s="106">
        <v>45946</v>
      </c>
      <c r="C361" s="106">
        <v>45946</v>
      </c>
      <c r="D361" s="107">
        <v>251016019</v>
      </c>
      <c r="E361" s="108" t="s">
        <v>994</v>
      </c>
      <c r="F361" s="108" t="s">
        <v>995</v>
      </c>
      <c r="G361" s="108">
        <v>28</v>
      </c>
      <c r="H361" s="121">
        <v>117</v>
      </c>
      <c r="I361" s="130" t="s">
        <v>106</v>
      </c>
      <c r="J361" s="123" t="s">
        <v>23</v>
      </c>
      <c r="K361" s="122" t="s">
        <v>38</v>
      </c>
      <c r="L361" s="107" t="s">
        <v>190</v>
      </c>
      <c r="M361" s="108" t="s">
        <v>40</v>
      </c>
      <c r="N361" s="111">
        <v>41.21</v>
      </c>
      <c r="O361" s="111">
        <v>11.66</v>
      </c>
      <c r="P361" s="112">
        <f t="shared" si="25"/>
        <v>29.55</v>
      </c>
      <c r="Q361" s="111">
        <v>335</v>
      </c>
      <c r="R361" s="113">
        <f t="shared" si="26"/>
        <v>9899.25</v>
      </c>
      <c r="S361" s="111"/>
      <c r="T361" s="114"/>
      <c r="V361" s="114" t="s">
        <v>215</v>
      </c>
      <c r="W361" s="111">
        <v>145</v>
      </c>
      <c r="X361" s="115">
        <f t="shared" si="27"/>
        <v>4284.75</v>
      </c>
      <c r="Y361" s="116">
        <v>230</v>
      </c>
      <c r="Z361" s="116">
        <f t="shared" si="28"/>
        <v>6796.5</v>
      </c>
      <c r="AA361" s="114">
        <f t="shared" si="29"/>
        <v>20980.5</v>
      </c>
    </row>
    <row r="362" spans="1:38" s="117" customFormat="1" ht="15.75">
      <c r="A362" s="32">
        <v>359</v>
      </c>
      <c r="B362" s="106">
        <v>45946</v>
      </c>
      <c r="C362" s="106">
        <v>45946</v>
      </c>
      <c r="D362" s="107" t="s">
        <v>996</v>
      </c>
      <c r="E362" s="108"/>
      <c r="F362" s="108"/>
      <c r="G362" s="108"/>
      <c r="H362" s="109"/>
      <c r="I362" s="108" t="s">
        <v>607</v>
      </c>
      <c r="J362" s="110" t="s">
        <v>23</v>
      </c>
      <c r="K362" s="110" t="s">
        <v>30</v>
      </c>
      <c r="L362" s="108" t="s">
        <v>608</v>
      </c>
      <c r="M362" s="108" t="s">
        <v>31</v>
      </c>
      <c r="N362" s="111">
        <v>9.92</v>
      </c>
      <c r="O362" s="111">
        <v>3.34</v>
      </c>
      <c r="P362" s="112">
        <f t="shared" si="25"/>
        <v>6.58</v>
      </c>
      <c r="Q362" s="111">
        <v>150</v>
      </c>
      <c r="R362" s="113">
        <f t="shared" si="26"/>
        <v>987</v>
      </c>
      <c r="S362" s="111">
        <v>987</v>
      </c>
      <c r="T362" s="114"/>
      <c r="V362" s="114" t="s">
        <v>24</v>
      </c>
      <c r="W362" s="111"/>
      <c r="X362" s="115">
        <f t="shared" si="27"/>
        <v>0</v>
      </c>
      <c r="Y362" s="116"/>
      <c r="Z362" s="116">
        <f t="shared" si="28"/>
        <v>0</v>
      </c>
      <c r="AA362" s="114">
        <f t="shared" si="29"/>
        <v>987</v>
      </c>
    </row>
    <row r="363" spans="1:38" s="117" customFormat="1" ht="15.75">
      <c r="A363" s="32">
        <v>360</v>
      </c>
      <c r="B363" s="106">
        <v>45946</v>
      </c>
      <c r="C363" s="106">
        <v>45946</v>
      </c>
      <c r="D363" s="107" t="s">
        <v>997</v>
      </c>
      <c r="E363" s="108"/>
      <c r="F363" s="108"/>
      <c r="G363" s="108"/>
      <c r="H363" s="119"/>
      <c r="I363" s="108" t="s">
        <v>980</v>
      </c>
      <c r="J363" s="110" t="s">
        <v>23</v>
      </c>
      <c r="K363" s="110" t="s">
        <v>30</v>
      </c>
      <c r="L363" s="107" t="s">
        <v>936</v>
      </c>
      <c r="M363" s="108" t="s">
        <v>31</v>
      </c>
      <c r="N363" s="111">
        <v>9.18</v>
      </c>
      <c r="O363" s="111">
        <v>3.5</v>
      </c>
      <c r="P363" s="112">
        <f t="shared" si="25"/>
        <v>5.68</v>
      </c>
      <c r="Q363" s="111">
        <v>150</v>
      </c>
      <c r="R363" s="113">
        <f t="shared" si="26"/>
        <v>852</v>
      </c>
      <c r="S363" s="111">
        <v>852</v>
      </c>
      <c r="T363" s="114"/>
      <c r="V363" s="114" t="s">
        <v>24</v>
      </c>
      <c r="W363" s="111"/>
      <c r="X363" s="115">
        <f t="shared" si="27"/>
        <v>0</v>
      </c>
      <c r="Y363" s="116"/>
      <c r="Z363" s="116">
        <f t="shared" si="28"/>
        <v>0</v>
      </c>
      <c r="AA363" s="114">
        <f t="shared" si="29"/>
        <v>852</v>
      </c>
    </row>
    <row r="364" spans="1:38" s="117" customFormat="1" ht="15.75">
      <c r="A364" s="32">
        <v>361</v>
      </c>
      <c r="B364" s="106">
        <v>45946</v>
      </c>
      <c r="C364" s="106">
        <v>45946</v>
      </c>
      <c r="D364" s="107" t="s">
        <v>998</v>
      </c>
      <c r="E364" s="108"/>
      <c r="F364" s="108"/>
      <c r="G364" s="108"/>
      <c r="H364" s="109"/>
      <c r="I364" s="108" t="s">
        <v>607</v>
      </c>
      <c r="J364" s="110" t="s">
        <v>23</v>
      </c>
      <c r="K364" s="110" t="s">
        <v>30</v>
      </c>
      <c r="L364" s="107" t="s">
        <v>978</v>
      </c>
      <c r="M364" s="108" t="s">
        <v>31</v>
      </c>
      <c r="N364" s="125">
        <v>9.1999999999999993</v>
      </c>
      <c r="O364" s="111">
        <v>3.4</v>
      </c>
      <c r="P364" s="112">
        <f t="shared" si="25"/>
        <v>5.7999999999999989</v>
      </c>
      <c r="Q364" s="111">
        <v>150</v>
      </c>
      <c r="R364" s="113">
        <f t="shared" si="26"/>
        <v>869.99999999999989</v>
      </c>
      <c r="S364" s="111">
        <v>870</v>
      </c>
      <c r="T364" s="114"/>
      <c r="V364" s="114" t="s">
        <v>24</v>
      </c>
      <c r="W364" s="111"/>
      <c r="X364" s="115">
        <f t="shared" si="27"/>
        <v>0</v>
      </c>
      <c r="Y364" s="116"/>
      <c r="Z364" s="116">
        <f t="shared" si="28"/>
        <v>0</v>
      </c>
      <c r="AA364" s="114">
        <f t="shared" si="29"/>
        <v>869.99999999999989</v>
      </c>
    </row>
    <row r="365" spans="1:38" s="120" customFormat="1" ht="15.75">
      <c r="A365" s="32">
        <v>362</v>
      </c>
      <c r="B365" s="106">
        <v>45946</v>
      </c>
      <c r="C365" s="106">
        <v>45946</v>
      </c>
      <c r="D365" s="107">
        <v>251016020</v>
      </c>
      <c r="E365" s="108" t="s">
        <v>999</v>
      </c>
      <c r="F365" s="108" t="s">
        <v>1000</v>
      </c>
      <c r="G365" s="108">
        <v>34</v>
      </c>
      <c r="H365" s="121">
        <v>117</v>
      </c>
      <c r="I365" s="130" t="s">
        <v>106</v>
      </c>
      <c r="J365" s="123" t="s">
        <v>23</v>
      </c>
      <c r="K365" s="122" t="s">
        <v>38</v>
      </c>
      <c r="L365" s="107" t="s">
        <v>304</v>
      </c>
      <c r="M365" s="108" t="s">
        <v>40</v>
      </c>
      <c r="N365" s="111">
        <v>54.31</v>
      </c>
      <c r="O365" s="111">
        <v>15.26</v>
      </c>
      <c r="P365" s="112">
        <f t="shared" si="25"/>
        <v>39.050000000000004</v>
      </c>
      <c r="Q365" s="111">
        <v>335</v>
      </c>
      <c r="R365" s="113">
        <f t="shared" si="26"/>
        <v>13081.750000000002</v>
      </c>
      <c r="S365" s="111"/>
      <c r="T365" s="114"/>
      <c r="V365" s="114" t="s">
        <v>215</v>
      </c>
      <c r="W365" s="111">
        <v>145</v>
      </c>
      <c r="X365" s="115">
        <f t="shared" si="27"/>
        <v>5662.2500000000009</v>
      </c>
      <c r="Y365" s="116">
        <v>230</v>
      </c>
      <c r="Z365" s="114">
        <f t="shared" si="28"/>
        <v>8981.5000000000018</v>
      </c>
      <c r="AA365" s="114">
        <f t="shared" si="29"/>
        <v>27725.500000000007</v>
      </c>
    </row>
    <row r="366" spans="1:38" s="117" customFormat="1" ht="15.75">
      <c r="A366" s="32">
        <v>363</v>
      </c>
      <c r="B366" s="106">
        <v>45946</v>
      </c>
      <c r="C366" s="106">
        <v>45946</v>
      </c>
      <c r="D366" s="107" t="s">
        <v>1001</v>
      </c>
      <c r="E366" s="108"/>
      <c r="F366" s="108"/>
      <c r="G366" s="108"/>
      <c r="H366" s="131">
        <v>339</v>
      </c>
      <c r="I366" s="132" t="s">
        <v>1002</v>
      </c>
      <c r="J366" s="123" t="s">
        <v>23</v>
      </c>
      <c r="K366" s="122" t="s">
        <v>38</v>
      </c>
      <c r="L366" s="107" t="s">
        <v>1003</v>
      </c>
      <c r="M366" s="108" t="s">
        <v>31</v>
      </c>
      <c r="N366" s="111">
        <v>7.78</v>
      </c>
      <c r="O366" s="111">
        <v>3.74</v>
      </c>
      <c r="P366" s="112">
        <f t="shared" si="25"/>
        <v>4.04</v>
      </c>
      <c r="Q366" s="111">
        <v>140</v>
      </c>
      <c r="R366" s="113">
        <f t="shared" si="26"/>
        <v>565.6</v>
      </c>
      <c r="S366" s="111"/>
      <c r="T366" s="114"/>
      <c r="V366" s="114" t="s">
        <v>24</v>
      </c>
      <c r="W366" s="111"/>
      <c r="X366" s="115">
        <f t="shared" si="27"/>
        <v>0</v>
      </c>
      <c r="Y366" s="116"/>
      <c r="Z366" s="114">
        <f t="shared" si="28"/>
        <v>0</v>
      </c>
      <c r="AA366" s="114">
        <f t="shared" si="29"/>
        <v>565.6</v>
      </c>
    </row>
    <row r="367" spans="1:38" s="117" customFormat="1" ht="15.75">
      <c r="A367" s="32">
        <v>364</v>
      </c>
      <c r="B367" s="106">
        <v>45946</v>
      </c>
      <c r="C367" s="106">
        <v>45946</v>
      </c>
      <c r="D367" s="107" t="s">
        <v>1004</v>
      </c>
      <c r="E367" s="108"/>
      <c r="F367" s="108"/>
      <c r="G367" s="108"/>
      <c r="H367" s="109"/>
      <c r="I367" s="108" t="s">
        <v>607</v>
      </c>
      <c r="J367" s="110" t="s">
        <v>23</v>
      </c>
      <c r="K367" s="110" t="s">
        <v>30</v>
      </c>
      <c r="L367" s="108" t="s">
        <v>608</v>
      </c>
      <c r="M367" s="108" t="s">
        <v>31</v>
      </c>
      <c r="N367" s="111">
        <v>8.92</v>
      </c>
      <c r="O367" s="111">
        <v>3.34</v>
      </c>
      <c r="P367" s="112">
        <f t="shared" si="25"/>
        <v>5.58</v>
      </c>
      <c r="Q367" s="111">
        <v>150</v>
      </c>
      <c r="R367" s="113">
        <f t="shared" si="26"/>
        <v>837</v>
      </c>
      <c r="S367" s="111">
        <v>837</v>
      </c>
      <c r="T367" s="114"/>
      <c r="V367" s="114" t="s">
        <v>24</v>
      </c>
      <c r="W367" s="111"/>
      <c r="X367" s="115">
        <f t="shared" si="27"/>
        <v>0</v>
      </c>
      <c r="Y367" s="116"/>
      <c r="Z367" s="114">
        <f t="shared" si="28"/>
        <v>0</v>
      </c>
      <c r="AA367" s="114">
        <f t="shared" si="29"/>
        <v>837</v>
      </c>
    </row>
    <row r="368" spans="1:38" s="117" customFormat="1" ht="15.75">
      <c r="A368" s="32">
        <v>365</v>
      </c>
      <c r="B368" s="106">
        <v>45946</v>
      </c>
      <c r="C368" s="106">
        <v>45946</v>
      </c>
      <c r="D368" s="107" t="s">
        <v>1005</v>
      </c>
      <c r="E368" s="108"/>
      <c r="F368" s="108"/>
      <c r="G368" s="108"/>
      <c r="H368" s="119"/>
      <c r="I368" s="108" t="s">
        <v>980</v>
      </c>
      <c r="J368" s="110" t="s">
        <v>23</v>
      </c>
      <c r="K368" s="110" t="s">
        <v>30</v>
      </c>
      <c r="L368" s="107" t="s">
        <v>936</v>
      </c>
      <c r="M368" s="108" t="s">
        <v>31</v>
      </c>
      <c r="N368" s="125">
        <v>8.8000000000000007</v>
      </c>
      <c r="O368" s="111">
        <v>3.52</v>
      </c>
      <c r="P368" s="112">
        <f t="shared" si="25"/>
        <v>5.2800000000000011</v>
      </c>
      <c r="Q368" s="111">
        <v>150</v>
      </c>
      <c r="R368" s="113">
        <f t="shared" si="26"/>
        <v>792.00000000000023</v>
      </c>
      <c r="S368" s="111">
        <v>792</v>
      </c>
      <c r="T368" s="114"/>
      <c r="V368" s="114" t="s">
        <v>24</v>
      </c>
      <c r="W368" s="111"/>
      <c r="X368" s="115">
        <f t="shared" si="27"/>
        <v>0</v>
      </c>
      <c r="Y368" s="116"/>
      <c r="Z368" s="114">
        <f t="shared" si="28"/>
        <v>0</v>
      </c>
      <c r="AA368" s="114">
        <f t="shared" si="29"/>
        <v>792.00000000000023</v>
      </c>
    </row>
    <row r="369" spans="1:27" s="117" customFormat="1" ht="15.75">
      <c r="A369" s="32">
        <v>366</v>
      </c>
      <c r="B369" s="106">
        <v>45946</v>
      </c>
      <c r="C369" s="106">
        <v>45946</v>
      </c>
      <c r="D369" s="107" t="s">
        <v>1006</v>
      </c>
      <c r="E369" s="108"/>
      <c r="F369" s="108"/>
      <c r="G369" s="108"/>
      <c r="H369" s="108"/>
      <c r="I369" s="108" t="s">
        <v>607</v>
      </c>
      <c r="J369" s="108" t="s">
        <v>23</v>
      </c>
      <c r="K369" s="108" t="s">
        <v>30</v>
      </c>
      <c r="L369" s="107" t="s">
        <v>978</v>
      </c>
      <c r="M369" s="108" t="s">
        <v>31</v>
      </c>
      <c r="N369" s="111">
        <v>9.1199999999999992</v>
      </c>
      <c r="O369" s="111">
        <v>3.4</v>
      </c>
      <c r="P369" s="112">
        <f t="shared" si="25"/>
        <v>5.7199999999999989</v>
      </c>
      <c r="Q369" s="111">
        <v>150</v>
      </c>
      <c r="R369" s="113">
        <f t="shared" si="26"/>
        <v>857.99999999999977</v>
      </c>
      <c r="S369" s="111">
        <v>858</v>
      </c>
      <c r="T369" s="114"/>
      <c r="V369" s="114" t="s">
        <v>24</v>
      </c>
      <c r="W369" s="111"/>
      <c r="X369" s="116">
        <f t="shared" si="27"/>
        <v>0</v>
      </c>
      <c r="Y369" s="116"/>
      <c r="Z369" s="114">
        <f t="shared" si="28"/>
        <v>0</v>
      </c>
      <c r="AA369" s="114">
        <f t="shared" si="29"/>
        <v>857.99999999999977</v>
      </c>
    </row>
    <row r="370" spans="1:27" s="117" customFormat="1" ht="15.75">
      <c r="A370" s="32">
        <v>367</v>
      </c>
      <c r="B370" s="106">
        <v>45946</v>
      </c>
      <c r="C370" s="106">
        <v>45946</v>
      </c>
      <c r="D370" s="107">
        <v>251016021</v>
      </c>
      <c r="E370" s="108" t="s">
        <v>1007</v>
      </c>
      <c r="F370" s="108" t="s">
        <v>1008</v>
      </c>
      <c r="G370" s="108">
        <v>36</v>
      </c>
      <c r="H370" s="133">
        <v>84</v>
      </c>
      <c r="I370" s="134" t="s">
        <v>1009</v>
      </c>
      <c r="J370" s="135" t="s">
        <v>23</v>
      </c>
      <c r="K370" s="122" t="s">
        <v>38</v>
      </c>
      <c r="L370" s="107" t="s">
        <v>509</v>
      </c>
      <c r="M370" s="108" t="s">
        <v>40</v>
      </c>
      <c r="N370" s="125">
        <v>51.05</v>
      </c>
      <c r="O370" s="111">
        <v>13.97</v>
      </c>
      <c r="P370" s="108">
        <f t="shared" si="25"/>
        <v>37.08</v>
      </c>
      <c r="Q370" s="111">
        <v>305</v>
      </c>
      <c r="R370" s="113">
        <f t="shared" si="26"/>
        <v>11309.4</v>
      </c>
      <c r="S370" s="111"/>
      <c r="T370" s="114"/>
      <c r="V370" s="114" t="s">
        <v>215</v>
      </c>
      <c r="W370" s="111">
        <v>145</v>
      </c>
      <c r="X370" s="115">
        <f t="shared" si="27"/>
        <v>5376.5999999999995</v>
      </c>
      <c r="Y370" s="116">
        <v>210</v>
      </c>
      <c r="Z370" s="114">
        <f t="shared" si="28"/>
        <v>7786.7999999999993</v>
      </c>
      <c r="AA370" s="114">
        <f t="shared" si="29"/>
        <v>24472.799999999999</v>
      </c>
    </row>
    <row r="371" spans="1:27" s="117" customFormat="1" ht="15.75">
      <c r="A371" s="32">
        <v>368</v>
      </c>
      <c r="B371" s="106">
        <v>45946</v>
      </c>
      <c r="C371" s="106">
        <v>45946</v>
      </c>
      <c r="D371" s="107">
        <v>251016022</v>
      </c>
      <c r="E371" s="108" t="s">
        <v>1010</v>
      </c>
      <c r="F371" s="108" t="s">
        <v>1011</v>
      </c>
      <c r="G371" s="108">
        <v>44</v>
      </c>
      <c r="H371" s="121">
        <v>115</v>
      </c>
      <c r="I371" s="122" t="s">
        <v>46</v>
      </c>
      <c r="J371" s="123" t="s">
        <v>23</v>
      </c>
      <c r="K371" s="124" t="s">
        <v>38</v>
      </c>
      <c r="L371" s="107" t="s">
        <v>82</v>
      </c>
      <c r="M371" s="108" t="s">
        <v>48</v>
      </c>
      <c r="N371" s="125">
        <v>60.6</v>
      </c>
      <c r="O371" s="111">
        <v>14.98</v>
      </c>
      <c r="P371" s="108">
        <f t="shared" si="25"/>
        <v>45.620000000000005</v>
      </c>
      <c r="Q371" s="111">
        <v>545</v>
      </c>
      <c r="R371" s="113">
        <f t="shared" si="26"/>
        <v>24862.9</v>
      </c>
      <c r="S371" s="111"/>
      <c r="T371" s="114"/>
      <c r="V371" s="114" t="s">
        <v>24</v>
      </c>
      <c r="W371" s="111">
        <v>145</v>
      </c>
      <c r="X371" s="115">
        <f t="shared" si="27"/>
        <v>6614.9000000000005</v>
      </c>
      <c r="Y371" s="116">
        <v>260</v>
      </c>
      <c r="Z371" s="114">
        <f t="shared" si="28"/>
        <v>11861.2</v>
      </c>
      <c r="AA371" s="114">
        <f t="shared" si="29"/>
        <v>43339</v>
      </c>
    </row>
    <row r="372" spans="1:27" s="120" customFormat="1" ht="15.75">
      <c r="A372" s="32">
        <v>369</v>
      </c>
      <c r="B372" s="106">
        <v>45946</v>
      </c>
      <c r="C372" s="106">
        <v>45946</v>
      </c>
      <c r="D372" s="107">
        <v>251016023</v>
      </c>
      <c r="E372" s="108" t="s">
        <v>1012</v>
      </c>
      <c r="F372" s="108" t="s">
        <v>1013</v>
      </c>
      <c r="G372" s="108">
        <v>45</v>
      </c>
      <c r="H372" s="121">
        <v>115</v>
      </c>
      <c r="I372" s="122" t="s">
        <v>46</v>
      </c>
      <c r="J372" s="123" t="s">
        <v>23</v>
      </c>
      <c r="K372" s="124" t="s">
        <v>38</v>
      </c>
      <c r="L372" s="107" t="s">
        <v>76</v>
      </c>
      <c r="M372" s="108" t="s">
        <v>48</v>
      </c>
      <c r="N372" s="111">
        <v>64.88</v>
      </c>
      <c r="O372" s="111">
        <v>18.22</v>
      </c>
      <c r="P372" s="108">
        <f t="shared" si="25"/>
        <v>46.66</v>
      </c>
      <c r="Q372" s="111">
        <v>545</v>
      </c>
      <c r="R372" s="113">
        <f t="shared" si="26"/>
        <v>25429.699999999997</v>
      </c>
      <c r="S372" s="111"/>
      <c r="T372" s="114"/>
      <c r="V372" s="114" t="s">
        <v>24</v>
      </c>
      <c r="W372" s="111">
        <v>145</v>
      </c>
      <c r="X372" s="115">
        <f t="shared" si="27"/>
        <v>6765.7</v>
      </c>
      <c r="Y372" s="116">
        <v>260</v>
      </c>
      <c r="Z372" s="114">
        <f t="shared" si="28"/>
        <v>12131.599999999999</v>
      </c>
      <c r="AA372" s="114">
        <f t="shared" si="29"/>
        <v>44327</v>
      </c>
    </row>
    <row r="373" spans="1:27" s="120" customFormat="1" ht="15.75">
      <c r="A373" s="32">
        <v>370</v>
      </c>
      <c r="B373" s="106">
        <v>45946</v>
      </c>
      <c r="C373" s="106">
        <v>45946</v>
      </c>
      <c r="D373" s="107">
        <v>251016024</v>
      </c>
      <c r="E373" s="108" t="s">
        <v>1014</v>
      </c>
      <c r="F373" s="108" t="s">
        <v>1015</v>
      </c>
      <c r="G373" s="108">
        <v>40</v>
      </c>
      <c r="H373" s="121">
        <v>115</v>
      </c>
      <c r="I373" s="122" t="s">
        <v>46</v>
      </c>
      <c r="J373" s="123" t="s">
        <v>23</v>
      </c>
      <c r="K373" s="124" t="s">
        <v>38</v>
      </c>
      <c r="L373" s="107" t="s">
        <v>70</v>
      </c>
      <c r="M373" s="108" t="s">
        <v>55</v>
      </c>
      <c r="N373" s="111">
        <v>54.02</v>
      </c>
      <c r="O373" s="111">
        <v>12.16</v>
      </c>
      <c r="P373" s="112">
        <f t="shared" si="25"/>
        <v>41.86</v>
      </c>
      <c r="Q373" s="111">
        <v>445</v>
      </c>
      <c r="R373" s="113">
        <f t="shared" si="26"/>
        <v>18627.7</v>
      </c>
      <c r="S373" s="111"/>
      <c r="T373" s="114"/>
      <c r="V373" s="114" t="s">
        <v>24</v>
      </c>
      <c r="W373" s="111">
        <v>145</v>
      </c>
      <c r="X373" s="115">
        <f t="shared" si="27"/>
        <v>6069.7</v>
      </c>
      <c r="Y373" s="116">
        <v>260</v>
      </c>
      <c r="Z373" s="114">
        <f t="shared" si="28"/>
        <v>10883.6</v>
      </c>
      <c r="AA373" s="114">
        <f t="shared" si="29"/>
        <v>35581</v>
      </c>
    </row>
    <row r="374" spans="1:27" s="120" customFormat="1" ht="15.75">
      <c r="A374" s="32">
        <v>371</v>
      </c>
      <c r="B374" s="106">
        <v>45946</v>
      </c>
      <c r="C374" s="106">
        <v>45946</v>
      </c>
      <c r="D374" s="107">
        <v>251016025</v>
      </c>
      <c r="E374" s="108" t="s">
        <v>1016</v>
      </c>
      <c r="F374" s="108" t="s">
        <v>1017</v>
      </c>
      <c r="G374" s="108">
        <v>46</v>
      </c>
      <c r="H374" s="121">
        <v>115</v>
      </c>
      <c r="I374" s="122" t="s">
        <v>46</v>
      </c>
      <c r="J374" s="123" t="s">
        <v>23</v>
      </c>
      <c r="K374" s="124" t="s">
        <v>38</v>
      </c>
      <c r="L374" s="107" t="s">
        <v>116</v>
      </c>
      <c r="M374" s="108" t="s">
        <v>48</v>
      </c>
      <c r="N374" s="111">
        <v>62.12</v>
      </c>
      <c r="O374" s="125">
        <v>14.98</v>
      </c>
      <c r="P374" s="112">
        <f t="shared" si="25"/>
        <v>47.14</v>
      </c>
      <c r="Q374" s="111">
        <v>545</v>
      </c>
      <c r="R374" s="113">
        <f t="shared" si="26"/>
        <v>25691.3</v>
      </c>
      <c r="S374" s="111"/>
      <c r="T374" s="114"/>
      <c r="V374" s="114" t="s">
        <v>24</v>
      </c>
      <c r="W374" s="111">
        <v>145</v>
      </c>
      <c r="X374" s="115">
        <f t="shared" si="27"/>
        <v>6835.3</v>
      </c>
      <c r="Y374" s="116">
        <v>260</v>
      </c>
      <c r="Z374" s="116">
        <f t="shared" si="28"/>
        <v>12256.4</v>
      </c>
      <c r="AA374" s="114">
        <f t="shared" si="29"/>
        <v>44783</v>
      </c>
    </row>
    <row r="375" spans="1:27" s="117" customFormat="1" ht="15.75">
      <c r="A375" s="32">
        <v>372</v>
      </c>
      <c r="B375" s="106">
        <v>45946</v>
      </c>
      <c r="C375" s="106">
        <v>45946</v>
      </c>
      <c r="D375" s="107">
        <v>251016026</v>
      </c>
      <c r="E375" s="108" t="s">
        <v>1018</v>
      </c>
      <c r="F375" s="108" t="s">
        <v>1019</v>
      </c>
      <c r="G375" s="108">
        <v>51</v>
      </c>
      <c r="H375" s="121">
        <v>115</v>
      </c>
      <c r="I375" s="122" t="s">
        <v>46</v>
      </c>
      <c r="J375" s="123" t="s">
        <v>23</v>
      </c>
      <c r="K375" s="124" t="s">
        <v>38</v>
      </c>
      <c r="L375" s="107" t="s">
        <v>193</v>
      </c>
      <c r="M375" s="108" t="s">
        <v>48</v>
      </c>
      <c r="N375" s="111">
        <v>67.92</v>
      </c>
      <c r="O375" s="111">
        <v>15.6</v>
      </c>
      <c r="P375" s="112">
        <f t="shared" si="25"/>
        <v>52.32</v>
      </c>
      <c r="Q375" s="111">
        <v>545</v>
      </c>
      <c r="R375" s="113">
        <f t="shared" si="26"/>
        <v>28514.400000000001</v>
      </c>
      <c r="S375" s="111"/>
      <c r="T375" s="114"/>
      <c r="V375" s="114" t="s">
        <v>24</v>
      </c>
      <c r="W375" s="111">
        <v>145</v>
      </c>
      <c r="X375" s="115">
        <f t="shared" si="27"/>
        <v>7586.4</v>
      </c>
      <c r="Y375" s="116">
        <v>260</v>
      </c>
      <c r="Z375" s="114">
        <f t="shared" si="28"/>
        <v>13603.2</v>
      </c>
      <c r="AA375" s="114">
        <f t="shared" si="29"/>
        <v>49704</v>
      </c>
    </row>
    <row r="376" spans="1:27" s="117" customFormat="1" ht="15.75">
      <c r="A376" s="32">
        <v>373</v>
      </c>
      <c r="B376" s="106">
        <v>45946</v>
      </c>
      <c r="C376" s="106">
        <v>45946</v>
      </c>
      <c r="D376" s="107">
        <v>251016027</v>
      </c>
      <c r="E376" s="108" t="s">
        <v>1020</v>
      </c>
      <c r="F376" s="108" t="s">
        <v>1021</v>
      </c>
      <c r="G376" s="108">
        <v>47</v>
      </c>
      <c r="H376" s="121">
        <v>115</v>
      </c>
      <c r="I376" s="122" t="s">
        <v>46</v>
      </c>
      <c r="J376" s="123" t="s">
        <v>23</v>
      </c>
      <c r="K376" s="124" t="s">
        <v>38</v>
      </c>
      <c r="L376" s="107" t="s">
        <v>236</v>
      </c>
      <c r="M376" s="108" t="s">
        <v>48</v>
      </c>
      <c r="N376" s="111">
        <v>67</v>
      </c>
      <c r="O376" s="111">
        <v>18.18</v>
      </c>
      <c r="P376" s="112">
        <f t="shared" si="25"/>
        <v>48.82</v>
      </c>
      <c r="Q376" s="111">
        <v>545</v>
      </c>
      <c r="R376" s="113">
        <f t="shared" si="26"/>
        <v>26606.9</v>
      </c>
      <c r="S376" s="111"/>
      <c r="T376" s="114"/>
      <c r="V376" s="114" t="s">
        <v>24</v>
      </c>
      <c r="W376" s="111">
        <v>145</v>
      </c>
      <c r="X376" s="115">
        <f t="shared" si="27"/>
        <v>7078.9</v>
      </c>
      <c r="Y376" s="116">
        <v>260</v>
      </c>
      <c r="Z376" s="114">
        <f t="shared" si="28"/>
        <v>12693.2</v>
      </c>
      <c r="AA376" s="114">
        <f t="shared" si="29"/>
        <v>46379</v>
      </c>
    </row>
    <row r="377" spans="1:27" s="117" customFormat="1" ht="15.75">
      <c r="A377" s="32">
        <v>374</v>
      </c>
      <c r="B377" s="106">
        <v>45946</v>
      </c>
      <c r="C377" s="106">
        <v>45946</v>
      </c>
      <c r="D377" s="107">
        <v>251016028</v>
      </c>
      <c r="E377" s="108" t="s">
        <v>1022</v>
      </c>
      <c r="F377" s="108" t="s">
        <v>1023</v>
      </c>
      <c r="G377" s="108">
        <v>45</v>
      </c>
      <c r="H377" s="121">
        <v>115</v>
      </c>
      <c r="I377" s="122" t="s">
        <v>46</v>
      </c>
      <c r="J377" s="123" t="s">
        <v>23</v>
      </c>
      <c r="K377" s="124" t="s">
        <v>38</v>
      </c>
      <c r="L377" s="107" t="s">
        <v>51</v>
      </c>
      <c r="M377" s="108" t="s">
        <v>48</v>
      </c>
      <c r="N377" s="111">
        <v>62.06</v>
      </c>
      <c r="O377" s="125">
        <v>15.28</v>
      </c>
      <c r="P377" s="112">
        <f t="shared" si="25"/>
        <v>46.78</v>
      </c>
      <c r="Q377" s="111">
        <v>545</v>
      </c>
      <c r="R377" s="113">
        <f t="shared" si="26"/>
        <v>25495.100000000002</v>
      </c>
      <c r="S377" s="111"/>
      <c r="T377" s="114"/>
      <c r="V377" s="114" t="s">
        <v>24</v>
      </c>
      <c r="W377" s="111">
        <v>145</v>
      </c>
      <c r="X377" s="115">
        <f t="shared" si="27"/>
        <v>6783.1</v>
      </c>
      <c r="Y377" s="116">
        <v>260</v>
      </c>
      <c r="Z377" s="114">
        <f t="shared" si="28"/>
        <v>12162.800000000001</v>
      </c>
      <c r="AA377" s="114">
        <f t="shared" si="29"/>
        <v>44441.000000000007</v>
      </c>
    </row>
    <row r="378" spans="1:27" s="120" customFormat="1" ht="15.75">
      <c r="A378" s="32">
        <v>375</v>
      </c>
      <c r="B378" s="106">
        <v>45946</v>
      </c>
      <c r="C378" s="106">
        <v>45946</v>
      </c>
      <c r="D378" s="107">
        <v>251016029</v>
      </c>
      <c r="E378" s="108" t="s">
        <v>1024</v>
      </c>
      <c r="F378" s="108" t="s">
        <v>1025</v>
      </c>
      <c r="G378" s="108">
        <v>39</v>
      </c>
      <c r="H378" s="121">
        <v>115</v>
      </c>
      <c r="I378" s="122" t="s">
        <v>46</v>
      </c>
      <c r="J378" s="123" t="s">
        <v>23</v>
      </c>
      <c r="K378" s="124" t="s">
        <v>38</v>
      </c>
      <c r="L378" s="107" t="s">
        <v>98</v>
      </c>
      <c r="M378" s="108" t="s">
        <v>55</v>
      </c>
      <c r="N378" s="111">
        <v>52.18</v>
      </c>
      <c r="O378" s="125">
        <v>11.82</v>
      </c>
      <c r="P378" s="112">
        <f t="shared" si="25"/>
        <v>40.36</v>
      </c>
      <c r="Q378" s="111">
        <v>445</v>
      </c>
      <c r="R378" s="113">
        <f t="shared" si="26"/>
        <v>17960.2</v>
      </c>
      <c r="S378" s="111"/>
      <c r="T378" s="114"/>
      <c r="V378" s="114" t="s">
        <v>24</v>
      </c>
      <c r="W378" s="111">
        <v>145</v>
      </c>
      <c r="X378" s="115">
        <f t="shared" si="27"/>
        <v>5852.2</v>
      </c>
      <c r="Y378" s="116">
        <v>260</v>
      </c>
      <c r="Z378" s="114">
        <f t="shared" si="28"/>
        <v>10493.6</v>
      </c>
      <c r="AA378" s="114">
        <f t="shared" si="29"/>
        <v>34306</v>
      </c>
    </row>
    <row r="379" spans="1:27" s="117" customFormat="1" ht="15.75">
      <c r="A379" s="32">
        <v>376</v>
      </c>
      <c r="B379" s="106">
        <v>45946</v>
      </c>
      <c r="C379" s="106">
        <v>45946</v>
      </c>
      <c r="D379" s="107">
        <v>251016030</v>
      </c>
      <c r="E379" s="108" t="s">
        <v>1026</v>
      </c>
      <c r="F379" s="108" t="s">
        <v>1027</v>
      </c>
      <c r="G379" s="108">
        <v>44</v>
      </c>
      <c r="H379" s="121">
        <v>115</v>
      </c>
      <c r="I379" s="122" t="s">
        <v>46</v>
      </c>
      <c r="J379" s="123" t="s">
        <v>23</v>
      </c>
      <c r="K379" s="124" t="s">
        <v>38</v>
      </c>
      <c r="L379" s="107" t="s">
        <v>61</v>
      </c>
      <c r="M379" s="108" t="s">
        <v>48</v>
      </c>
      <c r="N379" s="111">
        <v>61.84</v>
      </c>
      <c r="O379" s="111">
        <v>16</v>
      </c>
      <c r="P379" s="112">
        <f t="shared" si="25"/>
        <v>45.84</v>
      </c>
      <c r="Q379" s="111">
        <v>545</v>
      </c>
      <c r="R379" s="113">
        <f t="shared" si="26"/>
        <v>24982.800000000003</v>
      </c>
      <c r="S379" s="111"/>
      <c r="T379" s="114"/>
      <c r="V379" s="114" t="s">
        <v>24</v>
      </c>
      <c r="W379" s="111">
        <v>145</v>
      </c>
      <c r="X379" s="115">
        <f t="shared" si="27"/>
        <v>6646.8</v>
      </c>
      <c r="Y379" s="116">
        <v>260</v>
      </c>
      <c r="Z379" s="116">
        <f t="shared" si="28"/>
        <v>11918.400000000001</v>
      </c>
      <c r="AA379" s="114">
        <f t="shared" si="29"/>
        <v>43548</v>
      </c>
    </row>
    <row r="380" spans="1:27" s="117" customFormat="1" ht="15.75">
      <c r="A380" s="32">
        <v>377</v>
      </c>
      <c r="B380" s="106">
        <v>45946</v>
      </c>
      <c r="C380" s="106">
        <v>45946</v>
      </c>
      <c r="D380" s="107">
        <v>251016031</v>
      </c>
      <c r="E380" s="108" t="s">
        <v>1028</v>
      </c>
      <c r="F380" s="108" t="s">
        <v>1029</v>
      </c>
      <c r="G380" s="108">
        <v>49</v>
      </c>
      <c r="H380" s="121">
        <v>115</v>
      </c>
      <c r="I380" s="122" t="s">
        <v>46</v>
      </c>
      <c r="J380" s="123" t="s">
        <v>23</v>
      </c>
      <c r="K380" s="124" t="s">
        <v>38</v>
      </c>
      <c r="L380" s="107" t="s">
        <v>198</v>
      </c>
      <c r="M380" s="108" t="s">
        <v>55</v>
      </c>
      <c r="N380" s="111">
        <v>66.3</v>
      </c>
      <c r="O380" s="111">
        <v>15.66</v>
      </c>
      <c r="P380" s="112">
        <f t="shared" si="25"/>
        <v>50.64</v>
      </c>
      <c r="Q380" s="111">
        <v>445</v>
      </c>
      <c r="R380" s="113">
        <f t="shared" si="26"/>
        <v>22534.799999999999</v>
      </c>
      <c r="S380" s="111"/>
      <c r="T380" s="114"/>
      <c r="V380" s="114" t="s">
        <v>24</v>
      </c>
      <c r="W380" s="111">
        <v>145</v>
      </c>
      <c r="X380" s="115">
        <f t="shared" si="27"/>
        <v>7342.8</v>
      </c>
      <c r="Y380" s="116">
        <v>260</v>
      </c>
      <c r="Z380" s="116">
        <f t="shared" si="28"/>
        <v>13166.4</v>
      </c>
      <c r="AA380" s="114">
        <f t="shared" si="29"/>
        <v>43044</v>
      </c>
    </row>
    <row r="381" spans="1:27" s="117" customFormat="1" ht="15.75">
      <c r="A381" s="32">
        <v>378</v>
      </c>
      <c r="B381" s="106">
        <v>45946</v>
      </c>
      <c r="C381" s="106">
        <v>45946</v>
      </c>
      <c r="D381" s="107">
        <v>251016032</v>
      </c>
      <c r="E381" s="108" t="s">
        <v>1030</v>
      </c>
      <c r="F381" s="108" t="s">
        <v>1031</v>
      </c>
      <c r="G381" s="108">
        <v>38</v>
      </c>
      <c r="H381" s="121">
        <v>115</v>
      </c>
      <c r="I381" s="122" t="s">
        <v>46</v>
      </c>
      <c r="J381" s="123" t="s">
        <v>23</v>
      </c>
      <c r="K381" s="124" t="s">
        <v>38</v>
      </c>
      <c r="L381" s="108" t="s">
        <v>142</v>
      </c>
      <c r="M381" s="108" t="s">
        <v>55</v>
      </c>
      <c r="N381" s="111">
        <v>50.8</v>
      </c>
      <c r="O381" s="111">
        <v>11.74</v>
      </c>
      <c r="P381" s="112">
        <f t="shared" si="25"/>
        <v>39.059999999999995</v>
      </c>
      <c r="Q381" s="111">
        <v>445</v>
      </c>
      <c r="R381" s="113">
        <f t="shared" si="26"/>
        <v>17381.699999999997</v>
      </c>
      <c r="S381" s="111"/>
      <c r="T381" s="114"/>
      <c r="V381" s="114" t="s">
        <v>24</v>
      </c>
      <c r="W381" s="111">
        <v>145</v>
      </c>
      <c r="X381" s="115">
        <f t="shared" si="27"/>
        <v>5663.6999999999989</v>
      </c>
      <c r="Y381" s="116">
        <v>260</v>
      </c>
      <c r="Z381" s="116">
        <f t="shared" si="28"/>
        <v>10155.599999999999</v>
      </c>
      <c r="AA381" s="114">
        <f t="shared" si="29"/>
        <v>33200.999999999993</v>
      </c>
    </row>
    <row r="382" spans="1:27" s="117" customFormat="1" ht="15.75">
      <c r="A382" s="32">
        <v>379</v>
      </c>
      <c r="B382" s="106">
        <v>45946</v>
      </c>
      <c r="C382" s="106">
        <v>45946</v>
      </c>
      <c r="D382" s="136">
        <v>251016033</v>
      </c>
      <c r="E382" s="108" t="s">
        <v>1032</v>
      </c>
      <c r="F382" s="108" t="s">
        <v>1033</v>
      </c>
      <c r="G382" s="108">
        <v>38</v>
      </c>
      <c r="H382" s="121">
        <v>115</v>
      </c>
      <c r="I382" s="122" t="s">
        <v>46</v>
      </c>
      <c r="J382" s="123" t="s">
        <v>23</v>
      </c>
      <c r="K382" s="124" t="s">
        <v>38</v>
      </c>
      <c r="L382" s="108" t="s">
        <v>101</v>
      </c>
      <c r="M382" s="108" t="s">
        <v>55</v>
      </c>
      <c r="N382" s="111">
        <v>50.42</v>
      </c>
      <c r="O382" s="111">
        <v>11.54</v>
      </c>
      <c r="P382" s="112">
        <f t="shared" si="25"/>
        <v>38.880000000000003</v>
      </c>
      <c r="Q382" s="111">
        <v>445</v>
      </c>
      <c r="R382" s="113">
        <f t="shared" si="26"/>
        <v>17301.600000000002</v>
      </c>
      <c r="S382" s="111"/>
      <c r="T382" s="114"/>
      <c r="V382" s="114" t="s">
        <v>24</v>
      </c>
      <c r="W382" s="111">
        <v>145</v>
      </c>
      <c r="X382" s="115">
        <f t="shared" si="27"/>
        <v>5637.6</v>
      </c>
      <c r="Y382" s="116">
        <v>260</v>
      </c>
      <c r="Z382" s="116">
        <f t="shared" si="28"/>
        <v>10108.800000000001</v>
      </c>
      <c r="AA382" s="114">
        <f t="shared" si="29"/>
        <v>33048.000000000007</v>
      </c>
    </row>
    <row r="383" spans="1:27" s="117" customFormat="1" ht="15.75">
      <c r="A383" s="32">
        <v>380</v>
      </c>
      <c r="B383" s="106">
        <v>45946</v>
      </c>
      <c r="C383" s="106">
        <v>45946</v>
      </c>
      <c r="D383" s="107">
        <v>251016034</v>
      </c>
      <c r="E383" s="108" t="s">
        <v>1034</v>
      </c>
      <c r="F383" s="108" t="s">
        <v>1035</v>
      </c>
      <c r="G383" s="108">
        <v>48</v>
      </c>
      <c r="H383" s="121">
        <v>115</v>
      </c>
      <c r="I383" s="122" t="s">
        <v>46</v>
      </c>
      <c r="J383" s="123" t="s">
        <v>23</v>
      </c>
      <c r="K383" s="124" t="s">
        <v>38</v>
      </c>
      <c r="L383" s="108" t="s">
        <v>64</v>
      </c>
      <c r="M383" s="108" t="s">
        <v>48</v>
      </c>
      <c r="N383" s="111">
        <v>65</v>
      </c>
      <c r="O383" s="111">
        <v>16.38</v>
      </c>
      <c r="P383" s="112">
        <f t="shared" si="25"/>
        <v>48.620000000000005</v>
      </c>
      <c r="Q383" s="111">
        <v>545</v>
      </c>
      <c r="R383" s="113">
        <f t="shared" si="26"/>
        <v>26497.9</v>
      </c>
      <c r="S383" s="111"/>
      <c r="T383" s="114"/>
      <c r="V383" s="114" t="s">
        <v>24</v>
      </c>
      <c r="W383" s="111">
        <v>145</v>
      </c>
      <c r="X383" s="115">
        <f t="shared" si="27"/>
        <v>7049.9000000000005</v>
      </c>
      <c r="Y383" s="116">
        <v>260</v>
      </c>
      <c r="Z383" s="116">
        <f t="shared" si="28"/>
        <v>12641.2</v>
      </c>
      <c r="AA383" s="114">
        <f t="shared" si="29"/>
        <v>46189</v>
      </c>
    </row>
    <row r="384" spans="1:27" s="120" customFormat="1" ht="15.75">
      <c r="A384" s="32">
        <v>381</v>
      </c>
      <c r="B384" s="106">
        <v>45946</v>
      </c>
      <c r="C384" s="106">
        <v>45946</v>
      </c>
      <c r="D384" s="107">
        <v>251016035</v>
      </c>
      <c r="E384" s="108" t="s">
        <v>1036</v>
      </c>
      <c r="F384" s="108" t="s">
        <v>1037</v>
      </c>
      <c r="G384" s="108">
        <v>47</v>
      </c>
      <c r="H384" s="121">
        <v>115</v>
      </c>
      <c r="I384" s="122" t="s">
        <v>46</v>
      </c>
      <c r="J384" s="123" t="s">
        <v>23</v>
      </c>
      <c r="K384" s="124" t="s">
        <v>38</v>
      </c>
      <c r="L384" s="108" t="s">
        <v>119</v>
      </c>
      <c r="M384" s="108" t="s">
        <v>48</v>
      </c>
      <c r="N384" s="111">
        <v>65.56</v>
      </c>
      <c r="O384" s="111">
        <v>17.920000000000002</v>
      </c>
      <c r="P384" s="112">
        <f t="shared" si="25"/>
        <v>47.64</v>
      </c>
      <c r="Q384" s="111">
        <v>545</v>
      </c>
      <c r="R384" s="113">
        <f t="shared" si="26"/>
        <v>25963.8</v>
      </c>
      <c r="S384" s="111"/>
      <c r="T384" s="114"/>
      <c r="V384" s="114" t="s">
        <v>24</v>
      </c>
      <c r="W384" s="111">
        <v>145</v>
      </c>
      <c r="X384" s="115">
        <f t="shared" si="27"/>
        <v>6907.8</v>
      </c>
      <c r="Y384" s="116">
        <v>260</v>
      </c>
      <c r="Z384" s="116">
        <f t="shared" si="28"/>
        <v>12386.4</v>
      </c>
      <c r="AA384" s="114">
        <f t="shared" si="29"/>
        <v>45258</v>
      </c>
    </row>
    <row r="385" spans="1:27" s="117" customFormat="1" ht="15.75">
      <c r="A385" s="32">
        <v>382</v>
      </c>
      <c r="B385" s="106">
        <v>45946</v>
      </c>
      <c r="C385" s="106">
        <v>45946</v>
      </c>
      <c r="D385" s="107">
        <v>251016036</v>
      </c>
      <c r="E385" s="108" t="s">
        <v>1038</v>
      </c>
      <c r="F385" s="108" t="s">
        <v>1039</v>
      </c>
      <c r="G385" s="108">
        <v>48</v>
      </c>
      <c r="H385" s="121">
        <v>115</v>
      </c>
      <c r="I385" s="122" t="s">
        <v>46</v>
      </c>
      <c r="J385" s="123" t="s">
        <v>23</v>
      </c>
      <c r="K385" s="124" t="s">
        <v>38</v>
      </c>
      <c r="L385" s="108" t="s">
        <v>516</v>
      </c>
      <c r="M385" s="108" t="s">
        <v>48</v>
      </c>
      <c r="N385" s="111">
        <v>66.959999999999994</v>
      </c>
      <c r="O385" s="111">
        <v>18.18</v>
      </c>
      <c r="P385" s="112">
        <f t="shared" si="25"/>
        <v>48.779999999999994</v>
      </c>
      <c r="Q385" s="111">
        <v>545</v>
      </c>
      <c r="R385" s="113">
        <f t="shared" si="26"/>
        <v>26585.1</v>
      </c>
      <c r="S385" s="111"/>
      <c r="T385" s="114"/>
      <c r="V385" s="114" t="s">
        <v>24</v>
      </c>
      <c r="W385" s="111">
        <v>145</v>
      </c>
      <c r="X385" s="115">
        <f t="shared" si="27"/>
        <v>7073.0999999999995</v>
      </c>
      <c r="Y385" s="116">
        <v>260</v>
      </c>
      <c r="Z385" s="116">
        <f t="shared" si="28"/>
        <v>12682.8</v>
      </c>
      <c r="AA385" s="114">
        <f t="shared" si="29"/>
        <v>46341</v>
      </c>
    </row>
    <row r="386" spans="1:27" s="117" customFormat="1" ht="15.75">
      <c r="A386" s="32">
        <v>383</v>
      </c>
      <c r="B386" s="106">
        <v>45946</v>
      </c>
      <c r="C386" s="106">
        <v>45946</v>
      </c>
      <c r="D386" s="107">
        <v>251016037</v>
      </c>
      <c r="E386" s="108" t="s">
        <v>1040</v>
      </c>
      <c r="F386" s="108" t="s">
        <v>1041</v>
      </c>
      <c r="G386" s="108">
        <v>50</v>
      </c>
      <c r="H386" s="121">
        <v>115</v>
      </c>
      <c r="I386" s="122" t="s">
        <v>46</v>
      </c>
      <c r="J386" s="123" t="s">
        <v>23</v>
      </c>
      <c r="K386" s="124" t="s">
        <v>38</v>
      </c>
      <c r="L386" s="108" t="s">
        <v>79</v>
      </c>
      <c r="M386" s="108" t="s">
        <v>55</v>
      </c>
      <c r="N386" s="111">
        <v>65.8</v>
      </c>
      <c r="O386" s="111">
        <v>15.78</v>
      </c>
      <c r="P386" s="112">
        <f t="shared" si="25"/>
        <v>50.019999999999996</v>
      </c>
      <c r="Q386" s="111">
        <v>445</v>
      </c>
      <c r="R386" s="113">
        <f t="shared" si="26"/>
        <v>22258.899999999998</v>
      </c>
      <c r="S386" s="111"/>
      <c r="T386" s="114"/>
      <c r="V386" s="114" t="s">
        <v>24</v>
      </c>
      <c r="W386" s="111">
        <v>145</v>
      </c>
      <c r="X386" s="115">
        <f t="shared" si="27"/>
        <v>7252.9</v>
      </c>
      <c r="Y386" s="116">
        <v>260</v>
      </c>
      <c r="Z386" s="116">
        <f t="shared" si="28"/>
        <v>13005.199999999999</v>
      </c>
      <c r="AA386" s="114">
        <f t="shared" si="29"/>
        <v>42516.999999999993</v>
      </c>
    </row>
    <row r="387" spans="1:27" s="117" customFormat="1" ht="15.75">
      <c r="A387" s="32">
        <v>384</v>
      </c>
      <c r="B387" s="106">
        <v>45946</v>
      </c>
      <c r="C387" s="106">
        <v>45946</v>
      </c>
      <c r="D387" s="107">
        <v>251016038</v>
      </c>
      <c r="E387" s="108" t="s">
        <v>1042</v>
      </c>
      <c r="F387" s="108" t="s">
        <v>1043</v>
      </c>
      <c r="G387" s="108">
        <v>50</v>
      </c>
      <c r="H387" s="121">
        <v>115</v>
      </c>
      <c r="I387" s="122" t="s">
        <v>46</v>
      </c>
      <c r="J387" s="123" t="s">
        <v>23</v>
      </c>
      <c r="K387" s="124" t="s">
        <v>38</v>
      </c>
      <c r="L387" s="108" t="s">
        <v>122</v>
      </c>
      <c r="M387" s="108" t="s">
        <v>55</v>
      </c>
      <c r="N387" s="111">
        <v>65.98</v>
      </c>
      <c r="O387" s="111">
        <v>15.96</v>
      </c>
      <c r="P387" s="112">
        <f t="shared" si="25"/>
        <v>50.02</v>
      </c>
      <c r="Q387" s="111">
        <v>445</v>
      </c>
      <c r="R387" s="113">
        <f t="shared" si="26"/>
        <v>22258.9</v>
      </c>
      <c r="S387" s="111"/>
      <c r="T387" s="114"/>
      <c r="V387" s="114" t="s">
        <v>24</v>
      </c>
      <c r="W387" s="111">
        <v>145</v>
      </c>
      <c r="X387" s="115">
        <f t="shared" si="27"/>
        <v>7252.9000000000005</v>
      </c>
      <c r="Y387" s="116">
        <v>260</v>
      </c>
      <c r="Z387" s="114">
        <f t="shared" si="28"/>
        <v>13005.2</v>
      </c>
      <c r="AA387" s="114">
        <f t="shared" si="29"/>
        <v>42517</v>
      </c>
    </row>
    <row r="388" spans="1:27" s="117" customFormat="1" ht="15.75">
      <c r="A388" s="32">
        <v>385</v>
      </c>
      <c r="B388" s="106">
        <v>45946</v>
      </c>
      <c r="C388" s="106">
        <v>45947</v>
      </c>
      <c r="D388" s="107">
        <v>251017001</v>
      </c>
      <c r="E388" s="108" t="s">
        <v>1044</v>
      </c>
      <c r="F388" s="108" t="s">
        <v>1045</v>
      </c>
      <c r="G388" s="108">
        <v>40</v>
      </c>
      <c r="H388" s="137">
        <v>119</v>
      </c>
      <c r="I388" s="36" t="s">
        <v>501</v>
      </c>
      <c r="J388" s="42" t="s">
        <v>23</v>
      </c>
      <c r="K388" s="36" t="s">
        <v>38</v>
      </c>
      <c r="L388" s="108" t="s">
        <v>1046</v>
      </c>
      <c r="M388" s="108" t="s">
        <v>502</v>
      </c>
      <c r="N388" s="111">
        <v>54.9</v>
      </c>
      <c r="O388" s="111">
        <v>14.16</v>
      </c>
      <c r="P388" s="112">
        <f t="shared" ref="P388:P451" si="30">N388-O388</f>
        <v>40.739999999999995</v>
      </c>
      <c r="Q388" s="111">
        <v>425</v>
      </c>
      <c r="R388" s="113">
        <f t="shared" ref="R388:R451" si="31">Q388*P388</f>
        <v>17314.499999999996</v>
      </c>
      <c r="S388" s="111"/>
      <c r="T388" s="114"/>
      <c r="V388" s="114" t="s">
        <v>24</v>
      </c>
      <c r="W388" s="111">
        <v>145</v>
      </c>
      <c r="X388" s="115">
        <f t="shared" ref="X388:X451" si="32">W388*P388</f>
        <v>5907.2999999999993</v>
      </c>
      <c r="Y388" s="116">
        <v>150</v>
      </c>
      <c r="Z388" s="114">
        <f t="shared" ref="Z388:Z451" si="33">Y388*P388</f>
        <v>6110.9999999999991</v>
      </c>
      <c r="AA388" s="114">
        <f t="shared" ref="AA388:AA451" si="34">R388+X388+Z388</f>
        <v>29332.799999999996</v>
      </c>
    </row>
    <row r="389" spans="1:27" s="117" customFormat="1" ht="15.75">
      <c r="A389" s="32">
        <v>386</v>
      </c>
      <c r="B389" s="106">
        <v>45946</v>
      </c>
      <c r="C389" s="106">
        <v>45947</v>
      </c>
      <c r="D389" s="107">
        <v>251017002</v>
      </c>
      <c r="E389" s="108" t="s">
        <v>1047</v>
      </c>
      <c r="F389" s="108" t="s">
        <v>1048</v>
      </c>
      <c r="G389" s="108">
        <v>31</v>
      </c>
      <c r="H389" s="137">
        <v>119</v>
      </c>
      <c r="I389" s="36" t="s">
        <v>501</v>
      </c>
      <c r="J389" s="42" t="s">
        <v>23</v>
      </c>
      <c r="K389" s="36" t="s">
        <v>38</v>
      </c>
      <c r="L389" s="108" t="s">
        <v>149</v>
      </c>
      <c r="M389" s="108" t="s">
        <v>502</v>
      </c>
      <c r="N389" s="111">
        <v>43.8</v>
      </c>
      <c r="O389" s="111">
        <v>12.04</v>
      </c>
      <c r="P389" s="112">
        <f t="shared" si="30"/>
        <v>31.759999999999998</v>
      </c>
      <c r="Q389" s="111">
        <v>425</v>
      </c>
      <c r="R389" s="113">
        <f t="shared" si="31"/>
        <v>13498</v>
      </c>
      <c r="S389" s="111"/>
      <c r="T389" s="114"/>
      <c r="V389" s="114" t="s">
        <v>24</v>
      </c>
      <c r="W389" s="111">
        <v>145</v>
      </c>
      <c r="X389" s="115">
        <f t="shared" si="32"/>
        <v>4605.2</v>
      </c>
      <c r="Y389" s="116">
        <v>150</v>
      </c>
      <c r="Z389" s="116">
        <f t="shared" si="33"/>
        <v>4764</v>
      </c>
      <c r="AA389" s="114">
        <f t="shared" si="34"/>
        <v>22867.200000000001</v>
      </c>
    </row>
    <row r="390" spans="1:27" s="117" customFormat="1" ht="15.75">
      <c r="A390" s="32">
        <v>387</v>
      </c>
      <c r="B390" s="106">
        <v>45946</v>
      </c>
      <c r="C390" s="106">
        <v>45947</v>
      </c>
      <c r="D390" s="107">
        <v>251017004</v>
      </c>
      <c r="E390" s="108" t="s">
        <v>1049</v>
      </c>
      <c r="F390" s="108" t="s">
        <v>1050</v>
      </c>
      <c r="G390" s="108">
        <v>46</v>
      </c>
      <c r="H390" s="121">
        <v>115</v>
      </c>
      <c r="I390" s="122" t="s">
        <v>46</v>
      </c>
      <c r="J390" s="123" t="s">
        <v>23</v>
      </c>
      <c r="K390" s="124" t="s">
        <v>38</v>
      </c>
      <c r="L390" s="108" t="s">
        <v>54</v>
      </c>
      <c r="M390" s="108" t="s">
        <v>40</v>
      </c>
      <c r="N390" s="111">
        <v>63.66</v>
      </c>
      <c r="O390" s="125">
        <v>16.899999999999999</v>
      </c>
      <c r="P390" s="112">
        <f t="shared" si="30"/>
        <v>46.76</v>
      </c>
      <c r="Q390" s="111">
        <v>315</v>
      </c>
      <c r="R390" s="113">
        <f t="shared" si="31"/>
        <v>14729.4</v>
      </c>
      <c r="S390" s="111"/>
      <c r="T390" s="114"/>
      <c r="V390" s="114" t="s">
        <v>24</v>
      </c>
      <c r="W390" s="111">
        <v>145</v>
      </c>
      <c r="X390" s="115">
        <f t="shared" si="32"/>
        <v>6780.2</v>
      </c>
      <c r="Y390" s="116">
        <v>260</v>
      </c>
      <c r="Z390" s="116">
        <f t="shared" si="33"/>
        <v>12157.6</v>
      </c>
      <c r="AA390" s="114">
        <f t="shared" si="34"/>
        <v>33667.199999999997</v>
      </c>
    </row>
    <row r="391" spans="1:27" s="117" customFormat="1" ht="15.75">
      <c r="A391" s="32">
        <v>388</v>
      </c>
      <c r="B391" s="106">
        <v>45946</v>
      </c>
      <c r="C391" s="106">
        <v>45947</v>
      </c>
      <c r="D391" s="107">
        <v>251017003</v>
      </c>
      <c r="E391" s="108" t="s">
        <v>1051</v>
      </c>
      <c r="F391" s="108" t="s">
        <v>1052</v>
      </c>
      <c r="G391" s="108">
        <v>42</v>
      </c>
      <c r="H391" s="137">
        <v>119</v>
      </c>
      <c r="I391" s="36" t="s">
        <v>501</v>
      </c>
      <c r="J391" s="42" t="s">
        <v>23</v>
      </c>
      <c r="K391" s="36" t="s">
        <v>38</v>
      </c>
      <c r="L391" s="107" t="s">
        <v>179</v>
      </c>
      <c r="M391" s="108" t="s">
        <v>502</v>
      </c>
      <c r="N391" s="111">
        <v>58.48</v>
      </c>
      <c r="O391" s="125">
        <v>15.5</v>
      </c>
      <c r="P391" s="112">
        <f t="shared" si="30"/>
        <v>42.98</v>
      </c>
      <c r="Q391" s="111">
        <v>425</v>
      </c>
      <c r="R391" s="113">
        <f t="shared" si="31"/>
        <v>18266.5</v>
      </c>
      <c r="S391" s="111"/>
      <c r="T391" s="114"/>
      <c r="V391" s="114" t="s">
        <v>24</v>
      </c>
      <c r="W391" s="111">
        <v>145</v>
      </c>
      <c r="X391" s="115">
        <f t="shared" si="32"/>
        <v>6232.0999999999995</v>
      </c>
      <c r="Y391" s="116">
        <v>150</v>
      </c>
      <c r="Z391" s="116">
        <f t="shared" si="33"/>
        <v>6446.9999999999991</v>
      </c>
      <c r="AA391" s="114">
        <f t="shared" si="34"/>
        <v>30945.599999999999</v>
      </c>
    </row>
    <row r="392" spans="1:27" s="120" customFormat="1" ht="15.75">
      <c r="A392" s="32">
        <v>389</v>
      </c>
      <c r="B392" s="106">
        <v>45946</v>
      </c>
      <c r="C392" s="106">
        <v>45947</v>
      </c>
      <c r="D392" s="107">
        <v>251017006</v>
      </c>
      <c r="E392" s="108" t="s">
        <v>1053</v>
      </c>
      <c r="F392" s="108" t="s">
        <v>1054</v>
      </c>
      <c r="G392" s="108">
        <v>32</v>
      </c>
      <c r="H392" s="137">
        <v>119</v>
      </c>
      <c r="I392" s="36" t="s">
        <v>501</v>
      </c>
      <c r="J392" s="42" t="s">
        <v>23</v>
      </c>
      <c r="K392" s="36" t="s">
        <v>38</v>
      </c>
      <c r="L392" s="107" t="s">
        <v>1055</v>
      </c>
      <c r="M392" s="108" t="s">
        <v>502</v>
      </c>
      <c r="N392" s="111">
        <v>43.9</v>
      </c>
      <c r="O392" s="111">
        <v>11.76</v>
      </c>
      <c r="P392" s="112">
        <f t="shared" si="30"/>
        <v>32.14</v>
      </c>
      <c r="Q392" s="111">
        <v>425</v>
      </c>
      <c r="R392" s="113">
        <f t="shared" si="31"/>
        <v>13659.5</v>
      </c>
      <c r="S392" s="111"/>
      <c r="T392" s="114"/>
      <c r="V392" s="114" t="s">
        <v>24</v>
      </c>
      <c r="W392" s="111">
        <v>145</v>
      </c>
      <c r="X392" s="115">
        <f t="shared" si="32"/>
        <v>4660.3</v>
      </c>
      <c r="Y392" s="116">
        <v>150</v>
      </c>
      <c r="Z392" s="116">
        <f t="shared" si="33"/>
        <v>4821</v>
      </c>
      <c r="AA392" s="114">
        <f t="shared" si="34"/>
        <v>23140.799999999999</v>
      </c>
    </row>
    <row r="393" spans="1:27" s="117" customFormat="1" ht="15.75">
      <c r="A393" s="32">
        <v>390</v>
      </c>
      <c r="B393" s="106">
        <v>45946</v>
      </c>
      <c r="C393" s="106">
        <v>45947</v>
      </c>
      <c r="D393" s="107">
        <v>251017005</v>
      </c>
      <c r="E393" s="108" t="s">
        <v>1056</v>
      </c>
      <c r="F393" s="108" t="s">
        <v>1057</v>
      </c>
      <c r="G393" s="108">
        <v>45</v>
      </c>
      <c r="H393" s="121">
        <v>115</v>
      </c>
      <c r="I393" s="122" t="s">
        <v>46</v>
      </c>
      <c r="J393" s="123" t="s">
        <v>23</v>
      </c>
      <c r="K393" s="124" t="s">
        <v>38</v>
      </c>
      <c r="L393" s="107" t="s">
        <v>623</v>
      </c>
      <c r="M393" s="108" t="s">
        <v>40</v>
      </c>
      <c r="N393" s="111">
        <v>63.7</v>
      </c>
      <c r="O393" s="111">
        <v>18.440000000000001</v>
      </c>
      <c r="P393" s="112">
        <f t="shared" si="30"/>
        <v>45.260000000000005</v>
      </c>
      <c r="Q393" s="111">
        <v>315</v>
      </c>
      <c r="R393" s="113">
        <f t="shared" si="31"/>
        <v>14256.900000000001</v>
      </c>
      <c r="S393" s="111"/>
      <c r="T393" s="114"/>
      <c r="V393" s="114" t="s">
        <v>24</v>
      </c>
      <c r="W393" s="108">
        <v>145</v>
      </c>
      <c r="X393" s="115">
        <f t="shared" si="32"/>
        <v>6562.7000000000007</v>
      </c>
      <c r="Y393" s="116">
        <v>260</v>
      </c>
      <c r="Z393" s="116">
        <f t="shared" si="33"/>
        <v>11767.600000000002</v>
      </c>
      <c r="AA393" s="114">
        <f t="shared" si="34"/>
        <v>32587.200000000004</v>
      </c>
    </row>
    <row r="394" spans="1:27" s="117" customFormat="1" ht="15.75">
      <c r="A394" s="32">
        <v>391</v>
      </c>
      <c r="B394" s="106">
        <v>45946</v>
      </c>
      <c r="C394" s="106">
        <v>45947</v>
      </c>
      <c r="D394" s="107">
        <v>251017007</v>
      </c>
      <c r="E394" s="108" t="s">
        <v>1058</v>
      </c>
      <c r="F394" s="108" t="s">
        <v>1059</v>
      </c>
      <c r="G394" s="108">
        <v>32</v>
      </c>
      <c r="H394" s="137">
        <v>119</v>
      </c>
      <c r="I394" s="36" t="s">
        <v>501</v>
      </c>
      <c r="J394" s="42" t="s">
        <v>23</v>
      </c>
      <c r="K394" s="36" t="s">
        <v>38</v>
      </c>
      <c r="L394" s="108" t="s">
        <v>216</v>
      </c>
      <c r="M394" s="108" t="s">
        <v>502</v>
      </c>
      <c r="N394" s="111">
        <v>44.76</v>
      </c>
      <c r="O394" s="111">
        <v>11.98</v>
      </c>
      <c r="P394" s="112">
        <f t="shared" si="30"/>
        <v>32.78</v>
      </c>
      <c r="Q394" s="111">
        <v>425</v>
      </c>
      <c r="R394" s="113">
        <f t="shared" si="31"/>
        <v>13931.5</v>
      </c>
      <c r="S394" s="111"/>
      <c r="T394" s="114"/>
      <c r="V394" s="114" t="s">
        <v>24</v>
      </c>
      <c r="W394" s="108">
        <v>145</v>
      </c>
      <c r="X394" s="115">
        <f t="shared" si="32"/>
        <v>4753.1000000000004</v>
      </c>
      <c r="Y394" s="116">
        <v>150</v>
      </c>
      <c r="Z394" s="116">
        <f t="shared" si="33"/>
        <v>4917</v>
      </c>
      <c r="AA394" s="114">
        <f t="shared" si="34"/>
        <v>23601.599999999999</v>
      </c>
    </row>
    <row r="395" spans="1:27" s="117" customFormat="1" ht="15.75">
      <c r="A395" s="32">
        <v>392</v>
      </c>
      <c r="B395" s="106">
        <v>45946</v>
      </c>
      <c r="C395" s="106">
        <v>45947</v>
      </c>
      <c r="D395" s="107">
        <v>251017008</v>
      </c>
      <c r="E395" s="108" t="s">
        <v>1060</v>
      </c>
      <c r="F395" s="108" t="s">
        <v>1061</v>
      </c>
      <c r="G395" s="108">
        <v>38</v>
      </c>
      <c r="H395" s="137">
        <v>119</v>
      </c>
      <c r="I395" s="36" t="s">
        <v>501</v>
      </c>
      <c r="J395" s="42" t="s">
        <v>23</v>
      </c>
      <c r="K395" s="36" t="s">
        <v>38</v>
      </c>
      <c r="L395" s="108" t="s">
        <v>569</v>
      </c>
      <c r="M395" s="108" t="s">
        <v>502</v>
      </c>
      <c r="N395" s="111">
        <v>52.82</v>
      </c>
      <c r="O395" s="111">
        <v>14.36</v>
      </c>
      <c r="P395" s="112">
        <f t="shared" si="30"/>
        <v>38.46</v>
      </c>
      <c r="Q395" s="111">
        <v>425</v>
      </c>
      <c r="R395" s="113">
        <f t="shared" si="31"/>
        <v>16345.5</v>
      </c>
      <c r="S395" s="111"/>
      <c r="T395" s="114"/>
      <c r="V395" s="114" t="s">
        <v>24</v>
      </c>
      <c r="W395" s="108">
        <v>145</v>
      </c>
      <c r="X395" s="115">
        <f t="shared" si="32"/>
        <v>5576.7</v>
      </c>
      <c r="Y395" s="116">
        <v>150</v>
      </c>
      <c r="Z395" s="116">
        <f t="shared" si="33"/>
        <v>5769</v>
      </c>
      <c r="AA395" s="114">
        <f t="shared" si="34"/>
        <v>27691.200000000001</v>
      </c>
    </row>
    <row r="396" spans="1:27" s="117" customFormat="1" ht="15.75">
      <c r="A396" s="32">
        <v>393</v>
      </c>
      <c r="B396" s="106">
        <v>45947</v>
      </c>
      <c r="C396" s="106">
        <v>45947</v>
      </c>
      <c r="D396" s="107">
        <v>251017009</v>
      </c>
      <c r="E396" s="108" t="s">
        <v>1062</v>
      </c>
      <c r="F396" s="108" t="s">
        <v>1063</v>
      </c>
      <c r="G396" s="108">
        <v>42</v>
      </c>
      <c r="H396" s="137">
        <v>119</v>
      </c>
      <c r="I396" s="36" t="s">
        <v>501</v>
      </c>
      <c r="J396" s="42" t="s">
        <v>23</v>
      </c>
      <c r="K396" s="36" t="s">
        <v>38</v>
      </c>
      <c r="L396" s="108" t="s">
        <v>904</v>
      </c>
      <c r="M396" s="108" t="s">
        <v>502</v>
      </c>
      <c r="N396" s="108">
        <v>58.54</v>
      </c>
      <c r="O396" s="108">
        <v>15.34</v>
      </c>
      <c r="P396" s="112">
        <f t="shared" si="30"/>
        <v>43.2</v>
      </c>
      <c r="Q396" s="111">
        <v>425</v>
      </c>
      <c r="R396" s="113">
        <f t="shared" si="31"/>
        <v>18360</v>
      </c>
      <c r="S396" s="111"/>
      <c r="T396" s="114"/>
      <c r="V396" s="114" t="s">
        <v>24</v>
      </c>
      <c r="W396" s="111">
        <v>145</v>
      </c>
      <c r="X396" s="115">
        <f t="shared" si="32"/>
        <v>6264</v>
      </c>
      <c r="Y396" s="116">
        <v>150</v>
      </c>
      <c r="Z396" s="114">
        <f t="shared" si="33"/>
        <v>6480</v>
      </c>
      <c r="AA396" s="114">
        <f t="shared" si="34"/>
        <v>31104</v>
      </c>
    </row>
    <row r="397" spans="1:27" s="117" customFormat="1" ht="15.75">
      <c r="A397" s="32">
        <v>394</v>
      </c>
      <c r="B397" s="106">
        <v>45947</v>
      </c>
      <c r="C397" s="106">
        <v>45947</v>
      </c>
      <c r="D397" s="107">
        <v>251017010</v>
      </c>
      <c r="E397" s="108" t="s">
        <v>1064</v>
      </c>
      <c r="F397" s="108" t="s">
        <v>1065</v>
      </c>
      <c r="G397" s="108">
        <v>41</v>
      </c>
      <c r="H397" s="137">
        <v>119</v>
      </c>
      <c r="I397" s="36" t="s">
        <v>501</v>
      </c>
      <c r="J397" s="42" t="s">
        <v>23</v>
      </c>
      <c r="K397" s="36" t="s">
        <v>38</v>
      </c>
      <c r="L397" s="107" t="s">
        <v>1066</v>
      </c>
      <c r="M397" s="108" t="s">
        <v>502</v>
      </c>
      <c r="N397" s="108">
        <v>58.42</v>
      </c>
      <c r="O397" s="108">
        <v>15.88</v>
      </c>
      <c r="P397" s="118">
        <f t="shared" si="30"/>
        <v>42.54</v>
      </c>
      <c r="Q397" s="111">
        <v>425</v>
      </c>
      <c r="R397" s="113">
        <f t="shared" si="31"/>
        <v>18079.5</v>
      </c>
      <c r="S397" s="111"/>
      <c r="T397" s="116"/>
      <c r="V397" s="114" t="s">
        <v>24</v>
      </c>
      <c r="W397" s="111">
        <v>145</v>
      </c>
      <c r="X397" s="115">
        <f t="shared" si="32"/>
        <v>6168.3</v>
      </c>
      <c r="Y397" s="116">
        <v>150</v>
      </c>
      <c r="Z397" s="116">
        <f t="shared" si="33"/>
        <v>6381</v>
      </c>
      <c r="AA397" s="114">
        <f t="shared" si="34"/>
        <v>30628.799999999999</v>
      </c>
    </row>
    <row r="398" spans="1:27" s="117" customFormat="1" ht="15.75">
      <c r="A398" s="32">
        <v>395</v>
      </c>
      <c r="B398" s="106">
        <v>45947</v>
      </c>
      <c r="C398" s="106">
        <v>45947</v>
      </c>
      <c r="D398" s="107">
        <v>251017011</v>
      </c>
      <c r="E398" s="108" t="s">
        <v>1067</v>
      </c>
      <c r="F398" s="108" t="s">
        <v>1068</v>
      </c>
      <c r="G398" s="108">
        <v>30</v>
      </c>
      <c r="H398" s="137">
        <v>119</v>
      </c>
      <c r="I398" s="36" t="s">
        <v>501</v>
      </c>
      <c r="J398" s="42" t="s">
        <v>23</v>
      </c>
      <c r="K398" s="36" t="s">
        <v>38</v>
      </c>
      <c r="L398" s="107" t="s">
        <v>216</v>
      </c>
      <c r="M398" s="108" t="s">
        <v>502</v>
      </c>
      <c r="N398" s="108">
        <v>43.84</v>
      </c>
      <c r="O398" s="108">
        <v>12</v>
      </c>
      <c r="P398" s="112">
        <f t="shared" si="30"/>
        <v>31.840000000000003</v>
      </c>
      <c r="Q398" s="111">
        <v>425</v>
      </c>
      <c r="R398" s="113">
        <f t="shared" si="31"/>
        <v>13532.000000000002</v>
      </c>
      <c r="S398" s="111"/>
      <c r="T398" s="114"/>
      <c r="V398" s="114" t="s">
        <v>24</v>
      </c>
      <c r="W398" s="111">
        <v>145</v>
      </c>
      <c r="X398" s="115">
        <f t="shared" si="32"/>
        <v>4616.8</v>
      </c>
      <c r="Y398" s="116">
        <v>150</v>
      </c>
      <c r="Z398" s="116">
        <f t="shared" si="33"/>
        <v>4776.0000000000009</v>
      </c>
      <c r="AA398" s="114">
        <f t="shared" si="34"/>
        <v>22924.800000000003</v>
      </c>
    </row>
    <row r="399" spans="1:27" s="117" customFormat="1" ht="15.75">
      <c r="A399" s="32">
        <v>396</v>
      </c>
      <c r="B399" s="106">
        <v>45947</v>
      </c>
      <c r="C399" s="106">
        <v>45947</v>
      </c>
      <c r="D399" s="107">
        <v>251017012</v>
      </c>
      <c r="E399" s="108" t="s">
        <v>1069</v>
      </c>
      <c r="F399" s="108" t="s">
        <v>1070</v>
      </c>
      <c r="G399" s="108">
        <v>41</v>
      </c>
      <c r="H399" s="137">
        <v>119</v>
      </c>
      <c r="I399" s="36" t="s">
        <v>501</v>
      </c>
      <c r="J399" s="42" t="s">
        <v>23</v>
      </c>
      <c r="K399" s="36" t="s">
        <v>38</v>
      </c>
      <c r="L399" s="107" t="s">
        <v>179</v>
      </c>
      <c r="M399" s="108" t="s">
        <v>502</v>
      </c>
      <c r="N399" s="108">
        <v>57.56</v>
      </c>
      <c r="O399" s="108">
        <v>15.48</v>
      </c>
      <c r="P399" s="112">
        <f t="shared" si="30"/>
        <v>42.08</v>
      </c>
      <c r="Q399" s="111">
        <v>425</v>
      </c>
      <c r="R399" s="113">
        <f t="shared" si="31"/>
        <v>17884</v>
      </c>
      <c r="S399" s="111"/>
      <c r="T399" s="114"/>
      <c r="V399" s="114" t="s">
        <v>24</v>
      </c>
      <c r="W399" s="111">
        <v>145</v>
      </c>
      <c r="X399" s="115">
        <f t="shared" si="32"/>
        <v>6101.5999999999995</v>
      </c>
      <c r="Y399" s="116">
        <v>150</v>
      </c>
      <c r="Z399" s="116">
        <f t="shared" si="33"/>
        <v>6312</v>
      </c>
      <c r="AA399" s="114">
        <f t="shared" si="34"/>
        <v>30297.599999999999</v>
      </c>
    </row>
    <row r="400" spans="1:27" s="120" customFormat="1" ht="15.75">
      <c r="A400" s="32">
        <v>397</v>
      </c>
      <c r="B400" s="106">
        <v>45947</v>
      </c>
      <c r="C400" s="106">
        <v>45947</v>
      </c>
      <c r="D400" s="107">
        <v>251017013</v>
      </c>
      <c r="E400" s="108" t="s">
        <v>1071</v>
      </c>
      <c r="F400" s="108" t="s">
        <v>1072</v>
      </c>
      <c r="G400" s="108">
        <v>33</v>
      </c>
      <c r="H400" s="137">
        <v>119</v>
      </c>
      <c r="I400" s="36" t="s">
        <v>501</v>
      </c>
      <c r="J400" s="42" t="s">
        <v>23</v>
      </c>
      <c r="K400" s="36" t="s">
        <v>38</v>
      </c>
      <c r="L400" s="107" t="s">
        <v>149</v>
      </c>
      <c r="M400" s="108" t="s">
        <v>502</v>
      </c>
      <c r="N400" s="153">
        <v>46.9</v>
      </c>
      <c r="O400" s="108">
        <v>11.96</v>
      </c>
      <c r="P400" s="112">
        <f t="shared" si="30"/>
        <v>34.94</v>
      </c>
      <c r="Q400" s="111">
        <v>425</v>
      </c>
      <c r="R400" s="113">
        <f t="shared" si="31"/>
        <v>14849.499999999998</v>
      </c>
      <c r="S400" s="111"/>
      <c r="T400" s="114"/>
      <c r="V400" s="114" t="s">
        <v>24</v>
      </c>
      <c r="W400" s="111">
        <v>145</v>
      </c>
      <c r="X400" s="115">
        <f t="shared" si="32"/>
        <v>5066.2999999999993</v>
      </c>
      <c r="Y400" s="116">
        <v>150</v>
      </c>
      <c r="Z400" s="116">
        <f t="shared" si="33"/>
        <v>5241</v>
      </c>
      <c r="AA400" s="114">
        <f t="shared" si="34"/>
        <v>25156.799999999996</v>
      </c>
    </row>
    <row r="401" spans="1:38" s="117" customFormat="1" ht="15.75">
      <c r="A401" s="32">
        <v>398</v>
      </c>
      <c r="B401" s="106">
        <v>45947</v>
      </c>
      <c r="C401" s="106">
        <v>45947</v>
      </c>
      <c r="D401" s="107">
        <v>251017014</v>
      </c>
      <c r="E401" s="108" t="s">
        <v>1073</v>
      </c>
      <c r="F401" s="108" t="s">
        <v>1074</v>
      </c>
      <c r="G401" s="108">
        <v>38</v>
      </c>
      <c r="H401" s="137">
        <v>119</v>
      </c>
      <c r="I401" s="36" t="s">
        <v>501</v>
      </c>
      <c r="J401" s="42" t="s">
        <v>23</v>
      </c>
      <c r="K401" s="36" t="s">
        <v>38</v>
      </c>
      <c r="L401" s="107" t="s">
        <v>569</v>
      </c>
      <c r="M401" s="108" t="s">
        <v>502</v>
      </c>
      <c r="N401" s="108">
        <v>53.84</v>
      </c>
      <c r="O401" s="108">
        <v>14.32</v>
      </c>
      <c r="P401" s="112">
        <f t="shared" si="30"/>
        <v>39.520000000000003</v>
      </c>
      <c r="Q401" s="111">
        <v>425</v>
      </c>
      <c r="R401" s="113">
        <f t="shared" si="31"/>
        <v>16796</v>
      </c>
      <c r="S401" s="111"/>
      <c r="T401" s="114"/>
      <c r="V401" s="114" t="s">
        <v>24</v>
      </c>
      <c r="W401" s="111">
        <v>145</v>
      </c>
      <c r="X401" s="115">
        <f t="shared" si="32"/>
        <v>5730.4000000000005</v>
      </c>
      <c r="Y401" s="116">
        <v>150</v>
      </c>
      <c r="Z401" s="114">
        <f t="shared" si="33"/>
        <v>5928.0000000000009</v>
      </c>
      <c r="AA401" s="114">
        <f t="shared" si="34"/>
        <v>28454.400000000001</v>
      </c>
    </row>
    <row r="402" spans="1:38" s="117" customFormat="1" ht="15.75">
      <c r="A402" s="32">
        <v>399</v>
      </c>
      <c r="B402" s="106">
        <v>45947</v>
      </c>
      <c r="C402" s="106">
        <v>45947</v>
      </c>
      <c r="D402" s="107">
        <v>251017015</v>
      </c>
      <c r="E402" s="108" t="s">
        <v>1075</v>
      </c>
      <c r="F402" s="108" t="s">
        <v>1076</v>
      </c>
      <c r="G402" s="108">
        <v>40</v>
      </c>
      <c r="H402" s="137">
        <v>119</v>
      </c>
      <c r="I402" s="36" t="s">
        <v>501</v>
      </c>
      <c r="J402" s="42" t="s">
        <v>23</v>
      </c>
      <c r="K402" s="36" t="s">
        <v>38</v>
      </c>
      <c r="L402" s="107" t="s">
        <v>1046</v>
      </c>
      <c r="M402" s="108" t="s">
        <v>502</v>
      </c>
      <c r="N402" s="108">
        <v>55.32</v>
      </c>
      <c r="O402" s="108">
        <v>14.22</v>
      </c>
      <c r="P402" s="112">
        <f t="shared" si="30"/>
        <v>41.1</v>
      </c>
      <c r="Q402" s="111">
        <v>425</v>
      </c>
      <c r="R402" s="113">
        <f t="shared" si="31"/>
        <v>17467.5</v>
      </c>
      <c r="S402" s="111"/>
      <c r="T402" s="114"/>
      <c r="V402" s="114" t="s">
        <v>24</v>
      </c>
      <c r="W402" s="111">
        <v>145</v>
      </c>
      <c r="X402" s="115">
        <f t="shared" si="32"/>
        <v>5959.5</v>
      </c>
      <c r="Y402" s="116">
        <v>150</v>
      </c>
      <c r="Z402" s="114">
        <f t="shared" si="33"/>
        <v>6165</v>
      </c>
      <c r="AA402" s="114">
        <f t="shared" si="34"/>
        <v>29592</v>
      </c>
    </row>
    <row r="403" spans="1:38" s="117" customFormat="1" ht="15.75">
      <c r="A403" s="32">
        <v>400</v>
      </c>
      <c r="B403" s="106">
        <v>45947</v>
      </c>
      <c r="C403" s="106">
        <v>45947</v>
      </c>
      <c r="D403" s="107">
        <v>251017016</v>
      </c>
      <c r="E403" s="108" t="s">
        <v>1077</v>
      </c>
      <c r="F403" s="108" t="s">
        <v>1078</v>
      </c>
      <c r="G403" s="108">
        <v>43</v>
      </c>
      <c r="H403" s="137">
        <v>119</v>
      </c>
      <c r="I403" s="36" t="s">
        <v>501</v>
      </c>
      <c r="J403" s="42" t="s">
        <v>23</v>
      </c>
      <c r="K403" s="36" t="s">
        <v>38</v>
      </c>
      <c r="L403" s="107" t="s">
        <v>86</v>
      </c>
      <c r="M403" s="108" t="s">
        <v>502</v>
      </c>
      <c r="N403" s="153">
        <v>59.84</v>
      </c>
      <c r="O403" s="108">
        <v>15.42</v>
      </c>
      <c r="P403" s="112">
        <f t="shared" si="30"/>
        <v>44.42</v>
      </c>
      <c r="Q403" s="111">
        <v>425</v>
      </c>
      <c r="R403" s="113">
        <f t="shared" si="31"/>
        <v>18878.5</v>
      </c>
      <c r="S403" s="111"/>
      <c r="T403" s="114"/>
      <c r="V403" s="114" t="s">
        <v>24</v>
      </c>
      <c r="W403" s="111">
        <v>145</v>
      </c>
      <c r="X403" s="115">
        <f t="shared" si="32"/>
        <v>6440.9000000000005</v>
      </c>
      <c r="Y403" s="116">
        <v>150</v>
      </c>
      <c r="Z403" s="116">
        <f t="shared" si="33"/>
        <v>6663</v>
      </c>
      <c r="AA403" s="114">
        <f t="shared" si="34"/>
        <v>31982.400000000001</v>
      </c>
    </row>
    <row r="404" spans="1:38" s="117" customFormat="1" ht="15.75">
      <c r="A404" s="32">
        <v>401</v>
      </c>
      <c r="B404" s="106">
        <v>45947</v>
      </c>
      <c r="C404" s="106">
        <v>45947</v>
      </c>
      <c r="D404" s="107" t="s">
        <v>1079</v>
      </c>
      <c r="E404" s="108"/>
      <c r="F404" s="108"/>
      <c r="G404" s="108"/>
      <c r="H404" s="109"/>
      <c r="I404" s="108" t="s">
        <v>607</v>
      </c>
      <c r="J404" s="110" t="s">
        <v>23</v>
      </c>
      <c r="K404" s="110" t="s">
        <v>30</v>
      </c>
      <c r="L404" s="107" t="s">
        <v>608</v>
      </c>
      <c r="M404" s="108" t="s">
        <v>31</v>
      </c>
      <c r="N404" s="108">
        <v>9.0399999999999991</v>
      </c>
      <c r="O404" s="108">
        <v>3.34</v>
      </c>
      <c r="P404" s="112">
        <f t="shared" si="30"/>
        <v>5.6999999999999993</v>
      </c>
      <c r="Q404" s="111">
        <v>150</v>
      </c>
      <c r="R404" s="113">
        <f t="shared" si="31"/>
        <v>854.99999999999989</v>
      </c>
      <c r="S404" s="111">
        <v>855</v>
      </c>
      <c r="T404" s="114"/>
      <c r="V404" s="114" t="s">
        <v>24</v>
      </c>
      <c r="W404" s="111"/>
      <c r="X404" s="115">
        <f t="shared" si="32"/>
        <v>0</v>
      </c>
      <c r="Y404" s="116"/>
      <c r="Z404" s="116">
        <f t="shared" si="33"/>
        <v>0</v>
      </c>
      <c r="AA404" s="114">
        <f t="shared" si="34"/>
        <v>854.99999999999989</v>
      </c>
    </row>
    <row r="405" spans="1:38" s="117" customFormat="1" ht="17.100000000000001" customHeight="1">
      <c r="A405" s="32">
        <v>402</v>
      </c>
      <c r="B405" s="106">
        <v>45947</v>
      </c>
      <c r="C405" s="106">
        <v>45947</v>
      </c>
      <c r="D405" s="107" t="s">
        <v>1080</v>
      </c>
      <c r="E405" s="108"/>
      <c r="F405" s="108"/>
      <c r="G405" s="108"/>
      <c r="H405" s="109"/>
      <c r="I405" s="108" t="s">
        <v>607</v>
      </c>
      <c r="J405" s="110" t="s">
        <v>23</v>
      </c>
      <c r="K405" s="110" t="s">
        <v>30</v>
      </c>
      <c r="L405" s="107" t="s">
        <v>978</v>
      </c>
      <c r="M405" s="108" t="s">
        <v>31</v>
      </c>
      <c r="N405" s="108">
        <v>9.26</v>
      </c>
      <c r="O405" s="108">
        <v>3.4</v>
      </c>
      <c r="P405" s="112">
        <f t="shared" si="30"/>
        <v>5.8599999999999994</v>
      </c>
      <c r="Q405" s="111">
        <v>150</v>
      </c>
      <c r="R405" s="113">
        <f t="shared" si="31"/>
        <v>878.99999999999989</v>
      </c>
      <c r="S405" s="111">
        <v>879</v>
      </c>
      <c r="T405" s="114"/>
      <c r="V405" s="114" t="s">
        <v>24</v>
      </c>
      <c r="W405" s="111"/>
      <c r="X405" s="115">
        <f t="shared" si="32"/>
        <v>0</v>
      </c>
      <c r="Y405" s="116"/>
      <c r="Z405" s="116">
        <f t="shared" si="33"/>
        <v>0</v>
      </c>
      <c r="AA405" s="114">
        <f t="shared" si="34"/>
        <v>878.99999999999989</v>
      </c>
      <c r="AB405" s="127"/>
      <c r="AC405" s="126"/>
      <c r="AD405" s="128"/>
      <c r="AE405" s="129"/>
      <c r="AF405" s="126"/>
      <c r="AG405" s="129"/>
      <c r="AH405" s="126"/>
      <c r="AI405" s="128"/>
      <c r="AJ405" s="126"/>
      <c r="AK405" s="128"/>
      <c r="AL405" s="128"/>
    </row>
    <row r="406" spans="1:38" s="117" customFormat="1" ht="15.75">
      <c r="A406" s="32">
        <v>403</v>
      </c>
      <c r="B406" s="106">
        <v>45947</v>
      </c>
      <c r="C406" s="106">
        <v>45947</v>
      </c>
      <c r="D406" s="107" t="s">
        <v>1081</v>
      </c>
      <c r="E406" s="108"/>
      <c r="F406" s="108"/>
      <c r="G406" s="108"/>
      <c r="H406" s="154"/>
      <c r="I406" s="155" t="s">
        <v>980</v>
      </c>
      <c r="J406" s="110" t="s">
        <v>23</v>
      </c>
      <c r="K406" s="110" t="s">
        <v>30</v>
      </c>
      <c r="L406" s="107" t="s">
        <v>934</v>
      </c>
      <c r="M406" s="108" t="s">
        <v>31</v>
      </c>
      <c r="N406" s="108">
        <v>8.44</v>
      </c>
      <c r="O406" s="108">
        <v>3.52</v>
      </c>
      <c r="P406" s="112">
        <f t="shared" si="30"/>
        <v>4.92</v>
      </c>
      <c r="Q406" s="111">
        <v>150</v>
      </c>
      <c r="R406" s="113">
        <f t="shared" si="31"/>
        <v>738</v>
      </c>
      <c r="S406" s="111">
        <v>738</v>
      </c>
      <c r="T406" s="114"/>
      <c r="V406" s="114" t="s">
        <v>24</v>
      </c>
      <c r="W406" s="111"/>
      <c r="X406" s="115">
        <f t="shared" si="32"/>
        <v>0</v>
      </c>
      <c r="Y406" s="116"/>
      <c r="Z406" s="116">
        <f t="shared" si="33"/>
        <v>0</v>
      </c>
      <c r="AA406" s="114">
        <f t="shared" si="34"/>
        <v>738</v>
      </c>
    </row>
    <row r="407" spans="1:38" s="117" customFormat="1" ht="15.75">
      <c r="A407" s="32">
        <v>404</v>
      </c>
      <c r="B407" s="106">
        <v>45947</v>
      </c>
      <c r="C407" s="106">
        <v>45947</v>
      </c>
      <c r="D407" s="107">
        <v>251017017</v>
      </c>
      <c r="E407" s="108" t="s">
        <v>1082</v>
      </c>
      <c r="F407" s="108" t="s">
        <v>1083</v>
      </c>
      <c r="G407" s="108">
        <v>47</v>
      </c>
      <c r="H407" s="156">
        <v>24</v>
      </c>
      <c r="I407" s="138" t="s">
        <v>37</v>
      </c>
      <c r="J407" s="35" t="s">
        <v>23</v>
      </c>
      <c r="K407" s="36" t="s">
        <v>38</v>
      </c>
      <c r="L407" s="108" t="s">
        <v>58</v>
      </c>
      <c r="M407" s="108" t="s">
        <v>40</v>
      </c>
      <c r="N407" s="108">
        <v>64.16</v>
      </c>
      <c r="O407" s="108">
        <v>16.14</v>
      </c>
      <c r="P407" s="112">
        <f t="shared" si="30"/>
        <v>48.019999999999996</v>
      </c>
      <c r="Q407" s="111">
        <v>335</v>
      </c>
      <c r="R407" s="113">
        <f t="shared" si="31"/>
        <v>16086.699999999999</v>
      </c>
      <c r="S407" s="111"/>
      <c r="T407" s="114"/>
      <c r="V407" s="114" t="s">
        <v>24</v>
      </c>
      <c r="W407" s="111">
        <v>145</v>
      </c>
      <c r="X407" s="115">
        <f t="shared" si="32"/>
        <v>6962.9</v>
      </c>
      <c r="Y407" s="116">
        <v>260</v>
      </c>
      <c r="Z407" s="116">
        <f t="shared" si="33"/>
        <v>12485.199999999999</v>
      </c>
      <c r="AA407" s="114">
        <f t="shared" si="34"/>
        <v>35534.799999999996</v>
      </c>
    </row>
    <row r="408" spans="1:38" s="117" customFormat="1" ht="15.75">
      <c r="A408" s="32">
        <v>405</v>
      </c>
      <c r="B408" s="106">
        <v>45947</v>
      </c>
      <c r="C408" s="106">
        <v>45947</v>
      </c>
      <c r="D408" s="107">
        <v>251017018</v>
      </c>
      <c r="E408" s="108" t="s">
        <v>1084</v>
      </c>
      <c r="F408" s="108" t="s">
        <v>1085</v>
      </c>
      <c r="G408" s="108">
        <v>31</v>
      </c>
      <c r="H408" s="137">
        <v>119</v>
      </c>
      <c r="I408" s="36" t="s">
        <v>501</v>
      </c>
      <c r="J408" s="42" t="s">
        <v>23</v>
      </c>
      <c r="K408" s="36" t="s">
        <v>38</v>
      </c>
      <c r="L408" s="107" t="s">
        <v>110</v>
      </c>
      <c r="M408" s="108" t="s">
        <v>502</v>
      </c>
      <c r="N408" s="108">
        <v>44.46</v>
      </c>
      <c r="O408" s="108">
        <v>11.9</v>
      </c>
      <c r="P408" s="112">
        <f t="shared" si="30"/>
        <v>32.56</v>
      </c>
      <c r="Q408" s="111">
        <v>425</v>
      </c>
      <c r="R408" s="113">
        <f t="shared" si="31"/>
        <v>13838.000000000002</v>
      </c>
      <c r="S408" s="111"/>
      <c r="T408" s="114"/>
      <c r="V408" s="114" t="s">
        <v>24</v>
      </c>
      <c r="W408" s="111">
        <v>145</v>
      </c>
      <c r="X408" s="115">
        <f t="shared" si="32"/>
        <v>4721.2000000000007</v>
      </c>
      <c r="Y408" s="116">
        <v>150</v>
      </c>
      <c r="Z408" s="116">
        <f t="shared" si="33"/>
        <v>4884</v>
      </c>
      <c r="AA408" s="114">
        <f t="shared" si="34"/>
        <v>23443.200000000004</v>
      </c>
    </row>
    <row r="409" spans="1:38" s="117" customFormat="1" ht="15.75">
      <c r="A409" s="32">
        <v>406</v>
      </c>
      <c r="B409" s="106">
        <v>45947</v>
      </c>
      <c r="C409" s="106">
        <v>45947</v>
      </c>
      <c r="D409" s="107">
        <v>251017019</v>
      </c>
      <c r="E409" s="108" t="s">
        <v>1086</v>
      </c>
      <c r="F409" s="108" t="s">
        <v>1087</v>
      </c>
      <c r="G409" s="108">
        <v>41</v>
      </c>
      <c r="H409" s="137">
        <v>119</v>
      </c>
      <c r="I409" s="36" t="s">
        <v>501</v>
      </c>
      <c r="J409" s="42" t="s">
        <v>23</v>
      </c>
      <c r="K409" s="36" t="s">
        <v>38</v>
      </c>
      <c r="L409" s="107" t="s">
        <v>304</v>
      </c>
      <c r="M409" s="108" t="s">
        <v>502</v>
      </c>
      <c r="N409" s="153">
        <v>58.48</v>
      </c>
      <c r="O409" s="108">
        <v>16.14</v>
      </c>
      <c r="P409" s="112">
        <f t="shared" si="30"/>
        <v>42.339999999999996</v>
      </c>
      <c r="Q409" s="111">
        <v>425</v>
      </c>
      <c r="R409" s="113">
        <f t="shared" si="31"/>
        <v>17994.5</v>
      </c>
      <c r="S409" s="111"/>
      <c r="T409" s="114"/>
      <c r="V409" s="114" t="s">
        <v>24</v>
      </c>
      <c r="W409" s="111">
        <v>145</v>
      </c>
      <c r="X409" s="115">
        <f t="shared" si="32"/>
        <v>6139.2999999999993</v>
      </c>
      <c r="Y409" s="116">
        <v>150</v>
      </c>
      <c r="Z409" s="116">
        <f t="shared" si="33"/>
        <v>6350.9999999999991</v>
      </c>
      <c r="AA409" s="114">
        <f t="shared" si="34"/>
        <v>30484.799999999999</v>
      </c>
    </row>
    <row r="410" spans="1:38" s="120" customFormat="1" ht="15.75">
      <c r="A410" s="32">
        <v>407</v>
      </c>
      <c r="B410" s="106">
        <v>45947</v>
      </c>
      <c r="C410" s="106">
        <v>45947</v>
      </c>
      <c r="D410" s="107" t="s">
        <v>1088</v>
      </c>
      <c r="E410" s="108" t="s">
        <v>1089</v>
      </c>
      <c r="F410" s="108" t="s">
        <v>1090</v>
      </c>
      <c r="G410" s="108">
        <v>31</v>
      </c>
      <c r="H410" s="137">
        <v>119</v>
      </c>
      <c r="I410" s="36" t="s">
        <v>501</v>
      </c>
      <c r="J410" s="42" t="s">
        <v>23</v>
      </c>
      <c r="K410" s="36" t="s">
        <v>38</v>
      </c>
      <c r="L410" s="107" t="s">
        <v>190</v>
      </c>
      <c r="M410" s="108" t="s">
        <v>502</v>
      </c>
      <c r="N410" s="108">
        <v>43.74</v>
      </c>
      <c r="O410" s="108">
        <v>11.82</v>
      </c>
      <c r="P410" s="112">
        <f t="shared" si="30"/>
        <v>31.92</v>
      </c>
      <c r="Q410" s="111">
        <v>425</v>
      </c>
      <c r="R410" s="113">
        <f t="shared" si="31"/>
        <v>13566</v>
      </c>
      <c r="S410" s="111"/>
      <c r="T410" s="114"/>
      <c r="V410" s="114" t="s">
        <v>24</v>
      </c>
      <c r="W410" s="111">
        <v>145</v>
      </c>
      <c r="X410" s="115">
        <f t="shared" si="32"/>
        <v>4628.4000000000005</v>
      </c>
      <c r="Y410" s="116">
        <v>150</v>
      </c>
      <c r="Z410" s="114">
        <f t="shared" si="33"/>
        <v>4788</v>
      </c>
      <c r="AA410" s="114">
        <f t="shared" si="34"/>
        <v>22982.400000000001</v>
      </c>
    </row>
    <row r="411" spans="1:38" s="117" customFormat="1" ht="15.75">
      <c r="A411" s="32">
        <v>408</v>
      </c>
      <c r="B411" s="106">
        <v>45947</v>
      </c>
      <c r="C411" s="106">
        <v>45947</v>
      </c>
      <c r="D411" s="107">
        <v>251017020</v>
      </c>
      <c r="E411" s="108" t="s">
        <v>1091</v>
      </c>
      <c r="F411" s="108" t="s">
        <v>1092</v>
      </c>
      <c r="G411" s="108">
        <v>31</v>
      </c>
      <c r="H411" s="156">
        <v>24</v>
      </c>
      <c r="I411" s="138" t="s">
        <v>37</v>
      </c>
      <c r="J411" s="35" t="s">
        <v>23</v>
      </c>
      <c r="K411" s="36" t="s">
        <v>38</v>
      </c>
      <c r="L411" s="108" t="s">
        <v>39</v>
      </c>
      <c r="M411" s="108" t="s">
        <v>40</v>
      </c>
      <c r="N411" s="153">
        <v>42.3</v>
      </c>
      <c r="O411" s="108">
        <v>10.48</v>
      </c>
      <c r="P411" s="118">
        <f t="shared" si="30"/>
        <v>31.819999999999997</v>
      </c>
      <c r="Q411" s="111">
        <v>335</v>
      </c>
      <c r="R411" s="113">
        <f t="shared" si="31"/>
        <v>10659.699999999999</v>
      </c>
      <c r="S411" s="111"/>
      <c r="T411" s="114"/>
      <c r="V411" s="114" t="s">
        <v>24</v>
      </c>
      <c r="W411" s="111">
        <v>145</v>
      </c>
      <c r="X411" s="115">
        <f t="shared" si="32"/>
        <v>4613.8999999999996</v>
      </c>
      <c r="Y411" s="116">
        <v>260</v>
      </c>
      <c r="Z411" s="114">
        <f t="shared" si="33"/>
        <v>8273.1999999999989</v>
      </c>
      <c r="AA411" s="114">
        <f t="shared" si="34"/>
        <v>23546.799999999996</v>
      </c>
    </row>
    <row r="412" spans="1:38" s="117" customFormat="1" ht="15.75">
      <c r="A412" s="32">
        <v>409</v>
      </c>
      <c r="B412" s="106">
        <v>45947</v>
      </c>
      <c r="C412" s="106">
        <v>45947</v>
      </c>
      <c r="D412" s="107">
        <v>251017021</v>
      </c>
      <c r="E412" s="108" t="s">
        <v>1093</v>
      </c>
      <c r="F412" s="108" t="s">
        <v>1094</v>
      </c>
      <c r="G412" s="108">
        <v>41</v>
      </c>
      <c r="H412" s="137">
        <v>119</v>
      </c>
      <c r="I412" s="36" t="s">
        <v>501</v>
      </c>
      <c r="J412" s="42" t="s">
        <v>23</v>
      </c>
      <c r="K412" s="36" t="s">
        <v>38</v>
      </c>
      <c r="L412" s="107" t="s">
        <v>1095</v>
      </c>
      <c r="M412" s="108" t="s">
        <v>502</v>
      </c>
      <c r="N412" s="108">
        <v>58.56</v>
      </c>
      <c r="O412" s="108">
        <v>15.64</v>
      </c>
      <c r="P412" s="112">
        <f t="shared" si="30"/>
        <v>42.92</v>
      </c>
      <c r="Q412" s="111">
        <v>425</v>
      </c>
      <c r="R412" s="113">
        <f t="shared" si="31"/>
        <v>18241</v>
      </c>
      <c r="S412" s="111"/>
      <c r="T412" s="114"/>
      <c r="V412" s="114" t="s">
        <v>24</v>
      </c>
      <c r="W412" s="111">
        <v>145</v>
      </c>
      <c r="X412" s="115">
        <f t="shared" si="32"/>
        <v>6223.4000000000005</v>
      </c>
      <c r="Y412" s="116">
        <v>150</v>
      </c>
      <c r="Z412" s="114">
        <f t="shared" si="33"/>
        <v>6438</v>
      </c>
      <c r="AA412" s="114">
        <f t="shared" si="34"/>
        <v>30902.400000000001</v>
      </c>
    </row>
    <row r="413" spans="1:38" s="120" customFormat="1" ht="15.75">
      <c r="A413" s="32">
        <v>410</v>
      </c>
      <c r="B413" s="106">
        <v>45947</v>
      </c>
      <c r="C413" s="106">
        <v>45947</v>
      </c>
      <c r="D413" s="107" t="s">
        <v>1096</v>
      </c>
      <c r="E413" s="108"/>
      <c r="F413" s="108"/>
      <c r="G413" s="108"/>
      <c r="H413" s="109"/>
      <c r="I413" s="108" t="s">
        <v>1097</v>
      </c>
      <c r="J413" s="110" t="s">
        <v>23</v>
      </c>
      <c r="K413" s="110" t="s">
        <v>30</v>
      </c>
      <c r="L413" s="107" t="s">
        <v>1098</v>
      </c>
      <c r="M413" s="108" t="s">
        <v>48</v>
      </c>
      <c r="N413" s="108">
        <v>9.64</v>
      </c>
      <c r="O413" s="108">
        <v>3.5</v>
      </c>
      <c r="P413" s="112">
        <f t="shared" si="30"/>
        <v>6.1400000000000006</v>
      </c>
      <c r="Q413" s="111">
        <v>550</v>
      </c>
      <c r="R413" s="113">
        <f t="shared" si="31"/>
        <v>3377.0000000000005</v>
      </c>
      <c r="S413" s="111">
        <v>3377</v>
      </c>
      <c r="T413" s="114"/>
      <c r="V413" s="114" t="s">
        <v>24</v>
      </c>
      <c r="W413" s="111"/>
      <c r="X413" s="115">
        <f t="shared" si="32"/>
        <v>0</v>
      </c>
      <c r="Y413" s="116"/>
      <c r="Z413" s="114">
        <f t="shared" si="33"/>
        <v>0</v>
      </c>
      <c r="AA413" s="114">
        <f t="shared" si="34"/>
        <v>3377.0000000000005</v>
      </c>
    </row>
    <row r="414" spans="1:38" s="117" customFormat="1" ht="15.75">
      <c r="A414" s="32">
        <v>411</v>
      </c>
      <c r="B414" s="106">
        <v>45947</v>
      </c>
      <c r="C414" s="106">
        <v>45947</v>
      </c>
      <c r="D414" s="107" t="s">
        <v>1099</v>
      </c>
      <c r="E414" s="108"/>
      <c r="F414" s="108"/>
      <c r="G414" s="108"/>
      <c r="H414" s="157"/>
      <c r="I414" s="159" t="s">
        <v>1100</v>
      </c>
      <c r="J414" s="110" t="s">
        <v>23</v>
      </c>
      <c r="K414" s="110" t="s">
        <v>30</v>
      </c>
      <c r="L414" s="107" t="s">
        <v>1101</v>
      </c>
      <c r="M414" s="108" t="s">
        <v>48</v>
      </c>
      <c r="N414" s="108">
        <v>7.96</v>
      </c>
      <c r="O414" s="108">
        <v>3.62</v>
      </c>
      <c r="P414" s="112">
        <f t="shared" si="30"/>
        <v>4.34</v>
      </c>
      <c r="Q414" s="111">
        <v>550</v>
      </c>
      <c r="R414" s="113">
        <f t="shared" si="31"/>
        <v>2387</v>
      </c>
      <c r="S414" s="111">
        <v>2387</v>
      </c>
      <c r="T414" s="114"/>
      <c r="V414" s="114" t="s">
        <v>24</v>
      </c>
      <c r="W414" s="111"/>
      <c r="X414" s="115">
        <f t="shared" si="32"/>
        <v>0</v>
      </c>
      <c r="Y414" s="116"/>
      <c r="Z414" s="114">
        <f t="shared" si="33"/>
        <v>0</v>
      </c>
      <c r="AA414" s="114">
        <f t="shared" si="34"/>
        <v>2387</v>
      </c>
    </row>
    <row r="415" spans="1:38" s="117" customFormat="1" ht="15.75">
      <c r="A415" s="32">
        <v>412</v>
      </c>
      <c r="B415" s="106">
        <v>45947</v>
      </c>
      <c r="C415" s="106">
        <v>45947</v>
      </c>
      <c r="D415" s="107" t="s">
        <v>1102</v>
      </c>
      <c r="E415" s="108"/>
      <c r="F415" s="108"/>
      <c r="G415" s="108"/>
      <c r="H415" s="109"/>
      <c r="I415" s="108" t="s">
        <v>607</v>
      </c>
      <c r="J415" s="110" t="s">
        <v>23</v>
      </c>
      <c r="K415" s="110" t="s">
        <v>30</v>
      </c>
      <c r="L415" s="107" t="s">
        <v>608</v>
      </c>
      <c r="M415" s="108" t="s">
        <v>31</v>
      </c>
      <c r="N415" s="108">
        <v>9.34</v>
      </c>
      <c r="O415" s="108">
        <v>3.34</v>
      </c>
      <c r="P415" s="112">
        <f t="shared" si="30"/>
        <v>6</v>
      </c>
      <c r="Q415" s="111">
        <v>150</v>
      </c>
      <c r="R415" s="113">
        <f t="shared" si="31"/>
        <v>900</v>
      </c>
      <c r="S415" s="111">
        <v>900</v>
      </c>
      <c r="T415" s="114"/>
      <c r="V415" s="114" t="s">
        <v>24</v>
      </c>
      <c r="W415" s="111"/>
      <c r="X415" s="115">
        <f t="shared" si="32"/>
        <v>0</v>
      </c>
      <c r="Y415" s="116"/>
      <c r="Z415" s="114">
        <f t="shared" si="33"/>
        <v>0</v>
      </c>
      <c r="AA415" s="114">
        <f t="shared" si="34"/>
        <v>900</v>
      </c>
    </row>
    <row r="416" spans="1:38" s="117" customFormat="1" ht="15.75">
      <c r="A416" s="32">
        <v>413</v>
      </c>
      <c r="B416" s="106">
        <v>45947</v>
      </c>
      <c r="C416" s="106">
        <v>45947</v>
      </c>
      <c r="D416" s="107" t="s">
        <v>1103</v>
      </c>
      <c r="E416" s="108"/>
      <c r="F416" s="108"/>
      <c r="G416" s="108"/>
      <c r="H416" s="154"/>
      <c r="I416" s="155" t="s">
        <v>980</v>
      </c>
      <c r="J416" s="110" t="s">
        <v>23</v>
      </c>
      <c r="K416" s="110" t="s">
        <v>30</v>
      </c>
      <c r="L416" s="107" t="s">
        <v>1104</v>
      </c>
      <c r="M416" s="108" t="s">
        <v>31</v>
      </c>
      <c r="N416" s="153">
        <v>9.6999999999999993</v>
      </c>
      <c r="O416" s="108">
        <v>3.5</v>
      </c>
      <c r="P416" s="112">
        <f t="shared" si="30"/>
        <v>6.1999999999999993</v>
      </c>
      <c r="Q416" s="111">
        <v>150</v>
      </c>
      <c r="R416" s="113">
        <f t="shared" si="31"/>
        <v>929.99999999999989</v>
      </c>
      <c r="S416" s="111">
        <v>930</v>
      </c>
      <c r="T416" s="114"/>
      <c r="V416" s="114" t="s">
        <v>24</v>
      </c>
      <c r="W416" s="111"/>
      <c r="X416" s="115">
        <f t="shared" si="32"/>
        <v>0</v>
      </c>
      <c r="Y416" s="116"/>
      <c r="Z416" s="114">
        <f t="shared" si="33"/>
        <v>0</v>
      </c>
      <c r="AA416" s="114">
        <f t="shared" si="34"/>
        <v>929.99999999999989</v>
      </c>
    </row>
    <row r="417" spans="1:27" s="117" customFormat="1" ht="15.75">
      <c r="A417" s="32">
        <v>414</v>
      </c>
      <c r="B417" s="106">
        <v>45947</v>
      </c>
      <c r="C417" s="106">
        <v>45947</v>
      </c>
      <c r="D417" s="107" t="s">
        <v>1105</v>
      </c>
      <c r="E417" s="108"/>
      <c r="F417" s="108"/>
      <c r="G417" s="108"/>
      <c r="H417" s="137"/>
      <c r="I417" s="36" t="s">
        <v>270</v>
      </c>
      <c r="J417" s="110" t="s">
        <v>23</v>
      </c>
      <c r="K417" s="110" t="s">
        <v>30</v>
      </c>
      <c r="L417" s="107" t="s">
        <v>825</v>
      </c>
      <c r="M417" s="108" t="s">
        <v>502</v>
      </c>
      <c r="N417" s="108">
        <v>8.26</v>
      </c>
      <c r="O417" s="108">
        <v>3.36</v>
      </c>
      <c r="P417" s="112">
        <f t="shared" si="30"/>
        <v>4.9000000000000004</v>
      </c>
      <c r="Q417" s="111">
        <v>470</v>
      </c>
      <c r="R417" s="113">
        <f t="shared" si="31"/>
        <v>2303</v>
      </c>
      <c r="S417" s="111">
        <v>2303</v>
      </c>
      <c r="T417" s="114"/>
      <c r="V417" s="114" t="s">
        <v>24</v>
      </c>
      <c r="W417" s="111"/>
      <c r="X417" s="115">
        <f t="shared" si="32"/>
        <v>0</v>
      </c>
      <c r="Y417" s="116"/>
      <c r="Z417" s="114">
        <f t="shared" si="33"/>
        <v>0</v>
      </c>
      <c r="AA417" s="114">
        <f t="shared" si="34"/>
        <v>2303</v>
      </c>
    </row>
    <row r="418" spans="1:27" s="117" customFormat="1" ht="15.75">
      <c r="A418" s="32">
        <v>415</v>
      </c>
      <c r="B418" s="106">
        <v>45947</v>
      </c>
      <c r="C418" s="106">
        <v>45947</v>
      </c>
      <c r="D418" s="107">
        <v>251017022</v>
      </c>
      <c r="E418" s="108" t="s">
        <v>1106</v>
      </c>
      <c r="F418" s="108" t="s">
        <v>1107</v>
      </c>
      <c r="G418" s="108">
        <v>32</v>
      </c>
      <c r="H418" s="137">
        <v>119</v>
      </c>
      <c r="I418" s="36" t="s">
        <v>501</v>
      </c>
      <c r="J418" s="42" t="s">
        <v>23</v>
      </c>
      <c r="K418" s="36" t="s">
        <v>38</v>
      </c>
      <c r="L418" s="107" t="s">
        <v>107</v>
      </c>
      <c r="M418" s="108" t="s">
        <v>502</v>
      </c>
      <c r="N418" s="153">
        <v>44.98</v>
      </c>
      <c r="O418" s="108">
        <v>11.76</v>
      </c>
      <c r="P418" s="108">
        <f t="shared" si="30"/>
        <v>33.22</v>
      </c>
      <c r="Q418" s="111">
        <v>425</v>
      </c>
      <c r="R418" s="113">
        <f t="shared" si="31"/>
        <v>14118.5</v>
      </c>
      <c r="S418" s="111"/>
      <c r="T418" s="114"/>
      <c r="V418" s="114" t="s">
        <v>24</v>
      </c>
      <c r="W418" s="111">
        <v>145</v>
      </c>
      <c r="X418" s="115">
        <f t="shared" si="32"/>
        <v>4816.8999999999996</v>
      </c>
      <c r="Y418" s="116">
        <v>150</v>
      </c>
      <c r="Z418" s="114">
        <f t="shared" si="33"/>
        <v>4983</v>
      </c>
      <c r="AA418" s="114">
        <f t="shared" si="34"/>
        <v>23918.400000000001</v>
      </c>
    </row>
    <row r="419" spans="1:27" s="117" customFormat="1" ht="15.75">
      <c r="A419" s="32">
        <v>416</v>
      </c>
      <c r="B419" s="106">
        <v>45947</v>
      </c>
      <c r="C419" s="106">
        <v>45947</v>
      </c>
      <c r="D419" s="107">
        <v>251017023</v>
      </c>
      <c r="E419" s="108" t="s">
        <v>1108</v>
      </c>
      <c r="F419" s="108" t="s">
        <v>1109</v>
      </c>
      <c r="G419" s="108">
        <v>47</v>
      </c>
      <c r="H419" s="137">
        <v>119</v>
      </c>
      <c r="I419" s="36" t="s">
        <v>501</v>
      </c>
      <c r="J419" s="42" t="s">
        <v>23</v>
      </c>
      <c r="K419" s="36" t="s">
        <v>38</v>
      </c>
      <c r="L419" s="107" t="s">
        <v>1110</v>
      </c>
      <c r="M419" s="108" t="s">
        <v>502</v>
      </c>
      <c r="N419" s="153">
        <v>63.42</v>
      </c>
      <c r="O419" s="108">
        <v>15.36</v>
      </c>
      <c r="P419" s="108">
        <f t="shared" si="30"/>
        <v>48.06</v>
      </c>
      <c r="Q419" s="111">
        <v>425</v>
      </c>
      <c r="R419" s="113">
        <f t="shared" si="31"/>
        <v>20425.5</v>
      </c>
      <c r="S419" s="111"/>
      <c r="T419" s="114"/>
      <c r="V419" s="114" t="s">
        <v>24</v>
      </c>
      <c r="W419" s="111">
        <v>145</v>
      </c>
      <c r="X419" s="115">
        <f t="shared" si="32"/>
        <v>6968.7000000000007</v>
      </c>
      <c r="Y419" s="116">
        <v>150</v>
      </c>
      <c r="Z419" s="114">
        <f t="shared" si="33"/>
        <v>7209</v>
      </c>
      <c r="AA419" s="114">
        <f t="shared" si="34"/>
        <v>34603.199999999997</v>
      </c>
    </row>
    <row r="420" spans="1:27" s="120" customFormat="1" ht="15.75">
      <c r="A420" s="32">
        <v>417</v>
      </c>
      <c r="B420" s="106">
        <v>45947</v>
      </c>
      <c r="C420" s="106">
        <v>45947</v>
      </c>
      <c r="D420" s="107">
        <v>251017024</v>
      </c>
      <c r="E420" s="108" t="s">
        <v>1111</v>
      </c>
      <c r="F420" s="108" t="s">
        <v>1112</v>
      </c>
      <c r="G420" s="108">
        <v>40</v>
      </c>
      <c r="H420" s="137">
        <v>119</v>
      </c>
      <c r="I420" s="36" t="s">
        <v>501</v>
      </c>
      <c r="J420" s="42" t="s">
        <v>23</v>
      </c>
      <c r="K420" s="36" t="s">
        <v>38</v>
      </c>
      <c r="L420" s="107" t="s">
        <v>1113</v>
      </c>
      <c r="M420" s="108" t="s">
        <v>502</v>
      </c>
      <c r="N420" s="108">
        <v>55.38</v>
      </c>
      <c r="O420" s="108">
        <v>14</v>
      </c>
      <c r="P420" s="108">
        <f t="shared" si="30"/>
        <v>41.38</v>
      </c>
      <c r="Q420" s="111">
        <v>425</v>
      </c>
      <c r="R420" s="113">
        <f t="shared" si="31"/>
        <v>17586.5</v>
      </c>
      <c r="S420" s="111"/>
      <c r="T420" s="114"/>
      <c r="V420" s="114" t="s">
        <v>24</v>
      </c>
      <c r="W420" s="111">
        <v>145</v>
      </c>
      <c r="X420" s="115">
        <f t="shared" si="32"/>
        <v>6000.1</v>
      </c>
      <c r="Y420" s="116">
        <v>150</v>
      </c>
      <c r="Z420" s="114">
        <f t="shared" si="33"/>
        <v>6207</v>
      </c>
      <c r="AA420" s="114">
        <f t="shared" si="34"/>
        <v>29793.599999999999</v>
      </c>
    </row>
    <row r="421" spans="1:27" s="120" customFormat="1" ht="15.75">
      <c r="A421" s="32">
        <v>418</v>
      </c>
      <c r="B421" s="106">
        <v>45947</v>
      </c>
      <c r="C421" s="106">
        <v>45947</v>
      </c>
      <c r="D421" s="107" t="s">
        <v>1114</v>
      </c>
      <c r="E421" s="108"/>
      <c r="F421" s="108"/>
      <c r="G421" s="108"/>
      <c r="H421" s="109"/>
      <c r="I421" s="108" t="s">
        <v>1097</v>
      </c>
      <c r="J421" s="110" t="s">
        <v>23</v>
      </c>
      <c r="K421" s="110" t="s">
        <v>30</v>
      </c>
      <c r="L421" s="107" t="s">
        <v>1098</v>
      </c>
      <c r="M421" s="108" t="s">
        <v>48</v>
      </c>
      <c r="N421" s="108">
        <v>9.34</v>
      </c>
      <c r="O421" s="108">
        <v>3.5</v>
      </c>
      <c r="P421" s="112">
        <f t="shared" si="30"/>
        <v>5.84</v>
      </c>
      <c r="Q421" s="111">
        <v>550</v>
      </c>
      <c r="R421" s="113">
        <f t="shared" si="31"/>
        <v>3212</v>
      </c>
      <c r="S421" s="111">
        <v>3212</v>
      </c>
      <c r="T421" s="114"/>
      <c r="V421" s="114" t="s">
        <v>24</v>
      </c>
      <c r="W421" s="111"/>
      <c r="X421" s="115">
        <f t="shared" si="32"/>
        <v>0</v>
      </c>
      <c r="Y421" s="116"/>
      <c r="Z421" s="114">
        <f t="shared" si="33"/>
        <v>0</v>
      </c>
      <c r="AA421" s="114">
        <f t="shared" si="34"/>
        <v>3212</v>
      </c>
    </row>
    <row r="422" spans="1:27" s="120" customFormat="1" ht="15.75">
      <c r="A422" s="32">
        <v>419</v>
      </c>
      <c r="B422" s="106">
        <v>45947</v>
      </c>
      <c r="C422" s="106">
        <v>45947</v>
      </c>
      <c r="D422" s="107" t="s">
        <v>1115</v>
      </c>
      <c r="E422" s="108"/>
      <c r="F422" s="108"/>
      <c r="G422" s="108"/>
      <c r="H422" s="154"/>
      <c r="I422" s="155" t="s">
        <v>980</v>
      </c>
      <c r="J422" s="110" t="s">
        <v>23</v>
      </c>
      <c r="K422" s="110" t="s">
        <v>30</v>
      </c>
      <c r="L422" s="107" t="s">
        <v>936</v>
      </c>
      <c r="M422" s="108" t="s">
        <v>31</v>
      </c>
      <c r="N422" s="108">
        <v>8.9600000000000009</v>
      </c>
      <c r="O422" s="153">
        <v>3.44</v>
      </c>
      <c r="P422" s="112">
        <f t="shared" si="30"/>
        <v>5.5200000000000014</v>
      </c>
      <c r="Q422" s="111">
        <v>150</v>
      </c>
      <c r="R422" s="113">
        <f t="shared" si="31"/>
        <v>828.00000000000023</v>
      </c>
      <c r="S422" s="111">
        <v>828</v>
      </c>
      <c r="T422" s="114"/>
      <c r="V422" s="114" t="s">
        <v>24</v>
      </c>
      <c r="W422" s="111"/>
      <c r="X422" s="115">
        <f t="shared" si="32"/>
        <v>0</v>
      </c>
      <c r="Y422" s="116"/>
      <c r="Z422" s="116">
        <f t="shared" si="33"/>
        <v>0</v>
      </c>
      <c r="AA422" s="114">
        <f t="shared" si="34"/>
        <v>828.00000000000023</v>
      </c>
    </row>
    <row r="423" spans="1:27" s="117" customFormat="1" ht="15.75">
      <c r="A423" s="32">
        <v>420</v>
      </c>
      <c r="B423" s="106">
        <v>45947</v>
      </c>
      <c r="C423" s="106">
        <v>45947</v>
      </c>
      <c r="D423" s="107" t="s">
        <v>1116</v>
      </c>
      <c r="E423" s="108"/>
      <c r="F423" s="108"/>
      <c r="G423" s="108"/>
      <c r="H423" s="109"/>
      <c r="I423" s="108" t="s">
        <v>607</v>
      </c>
      <c r="J423" s="110" t="s">
        <v>23</v>
      </c>
      <c r="K423" s="110" t="s">
        <v>30</v>
      </c>
      <c r="L423" s="107" t="s">
        <v>978</v>
      </c>
      <c r="M423" s="108" t="s">
        <v>31</v>
      </c>
      <c r="N423" s="108">
        <v>9.6199999999999992</v>
      </c>
      <c r="O423" s="108">
        <v>3.38</v>
      </c>
      <c r="P423" s="112">
        <f t="shared" si="30"/>
        <v>6.2399999999999993</v>
      </c>
      <c r="Q423" s="111">
        <v>150</v>
      </c>
      <c r="R423" s="113">
        <f t="shared" si="31"/>
        <v>935.99999999999989</v>
      </c>
      <c r="S423" s="111">
        <v>936</v>
      </c>
      <c r="T423" s="114"/>
      <c r="V423" s="114" t="s">
        <v>24</v>
      </c>
      <c r="W423" s="111"/>
      <c r="X423" s="115">
        <f t="shared" si="32"/>
        <v>0</v>
      </c>
      <c r="Y423" s="116"/>
      <c r="Z423" s="114">
        <f t="shared" si="33"/>
        <v>0</v>
      </c>
      <c r="AA423" s="114">
        <f t="shared" si="34"/>
        <v>935.99999999999989</v>
      </c>
    </row>
    <row r="424" spans="1:27" s="117" customFormat="1" ht="15.75">
      <c r="A424" s="32">
        <v>421</v>
      </c>
      <c r="B424" s="106">
        <v>45947</v>
      </c>
      <c r="C424" s="106">
        <v>45947</v>
      </c>
      <c r="D424" s="107" t="s">
        <v>1117</v>
      </c>
      <c r="E424" s="108"/>
      <c r="F424" s="108"/>
      <c r="G424" s="108"/>
      <c r="H424" s="154"/>
      <c r="I424" s="155" t="s">
        <v>980</v>
      </c>
      <c r="J424" s="110" t="s">
        <v>23</v>
      </c>
      <c r="K424" s="110" t="s">
        <v>30</v>
      </c>
      <c r="L424" s="107" t="s">
        <v>1104</v>
      </c>
      <c r="M424" s="108" t="s">
        <v>31</v>
      </c>
      <c r="N424" s="108">
        <v>9.0399999999999991</v>
      </c>
      <c r="O424" s="108">
        <v>3.5</v>
      </c>
      <c r="P424" s="112">
        <f t="shared" si="30"/>
        <v>5.5399999999999991</v>
      </c>
      <c r="Q424" s="111">
        <v>150</v>
      </c>
      <c r="R424" s="113">
        <f t="shared" si="31"/>
        <v>830.99999999999989</v>
      </c>
      <c r="S424" s="111">
        <v>831</v>
      </c>
      <c r="T424" s="114"/>
      <c r="V424" s="114" t="s">
        <v>24</v>
      </c>
      <c r="W424" s="111"/>
      <c r="X424" s="115">
        <f t="shared" si="32"/>
        <v>0</v>
      </c>
      <c r="Y424" s="116"/>
      <c r="Z424" s="114">
        <f t="shared" si="33"/>
        <v>0</v>
      </c>
      <c r="AA424" s="114">
        <f t="shared" si="34"/>
        <v>830.99999999999989</v>
      </c>
    </row>
    <row r="425" spans="1:27" s="117" customFormat="1" ht="15.75">
      <c r="A425" s="32">
        <v>422</v>
      </c>
      <c r="B425" s="106">
        <v>45947</v>
      </c>
      <c r="C425" s="106">
        <v>45947</v>
      </c>
      <c r="D425" s="107" t="s">
        <v>1118</v>
      </c>
      <c r="E425" s="108"/>
      <c r="F425" s="108"/>
      <c r="G425" s="108"/>
      <c r="H425" s="109"/>
      <c r="I425" s="108" t="s">
        <v>607</v>
      </c>
      <c r="J425" s="110" t="s">
        <v>23</v>
      </c>
      <c r="K425" s="110" t="s">
        <v>30</v>
      </c>
      <c r="L425" s="107" t="s">
        <v>608</v>
      </c>
      <c r="M425" s="108" t="s">
        <v>31</v>
      </c>
      <c r="N425" s="108">
        <v>9.32</v>
      </c>
      <c r="O425" s="153">
        <v>3.34</v>
      </c>
      <c r="P425" s="112">
        <f t="shared" si="30"/>
        <v>5.98</v>
      </c>
      <c r="Q425" s="111">
        <v>150</v>
      </c>
      <c r="R425" s="113">
        <f t="shared" si="31"/>
        <v>897.00000000000011</v>
      </c>
      <c r="S425" s="111">
        <v>897</v>
      </c>
      <c r="T425" s="114"/>
      <c r="V425" s="114" t="s">
        <v>24</v>
      </c>
      <c r="W425" s="111"/>
      <c r="X425" s="115">
        <f t="shared" si="32"/>
        <v>0</v>
      </c>
      <c r="Y425" s="116"/>
      <c r="Z425" s="114">
        <f t="shared" si="33"/>
        <v>0</v>
      </c>
      <c r="AA425" s="114">
        <f t="shared" si="34"/>
        <v>897.00000000000011</v>
      </c>
    </row>
    <row r="426" spans="1:27" s="120" customFormat="1" ht="15.75">
      <c r="A426" s="32">
        <v>423</v>
      </c>
      <c r="B426" s="106">
        <v>45947</v>
      </c>
      <c r="C426" s="106">
        <v>45947</v>
      </c>
      <c r="D426" s="107">
        <v>251017025</v>
      </c>
      <c r="E426" s="108" t="s">
        <v>1119</v>
      </c>
      <c r="F426" s="108" t="s">
        <v>1120</v>
      </c>
      <c r="G426" s="108">
        <v>49</v>
      </c>
      <c r="H426" s="156">
        <v>18</v>
      </c>
      <c r="I426" s="138" t="s">
        <v>155</v>
      </c>
      <c r="J426" s="35" t="s">
        <v>23</v>
      </c>
      <c r="K426" s="36" t="s">
        <v>38</v>
      </c>
      <c r="L426" s="107" t="s">
        <v>92</v>
      </c>
      <c r="M426" s="108" t="s">
        <v>55</v>
      </c>
      <c r="N426" s="108">
        <v>65.459999999999994</v>
      </c>
      <c r="O426" s="153">
        <v>15.9</v>
      </c>
      <c r="P426" s="112">
        <f t="shared" si="30"/>
        <v>49.559999999999995</v>
      </c>
      <c r="Q426" s="111">
        <v>453</v>
      </c>
      <c r="R426" s="113">
        <f t="shared" si="31"/>
        <v>22450.679999999997</v>
      </c>
      <c r="S426" s="111"/>
      <c r="T426" s="114"/>
      <c r="V426" s="114" t="s">
        <v>24</v>
      </c>
      <c r="W426" s="111">
        <v>145</v>
      </c>
      <c r="X426" s="115">
        <f t="shared" si="32"/>
        <v>7186.1999999999989</v>
      </c>
      <c r="Y426" s="116">
        <v>240</v>
      </c>
      <c r="Z426" s="114">
        <f t="shared" si="33"/>
        <v>11894.4</v>
      </c>
      <c r="AA426" s="114">
        <f t="shared" si="34"/>
        <v>41531.279999999999</v>
      </c>
    </row>
    <row r="427" spans="1:27" s="117" customFormat="1" ht="15.75">
      <c r="A427" s="32">
        <v>424</v>
      </c>
      <c r="B427" s="106">
        <v>45947</v>
      </c>
      <c r="C427" s="106">
        <v>45947</v>
      </c>
      <c r="D427" s="107" t="s">
        <v>1121</v>
      </c>
      <c r="E427" s="108"/>
      <c r="F427" s="108"/>
      <c r="G427" s="108"/>
      <c r="H427" s="109"/>
      <c r="I427" s="108" t="s">
        <v>607</v>
      </c>
      <c r="J427" s="110" t="s">
        <v>23</v>
      </c>
      <c r="K427" s="110" t="s">
        <v>30</v>
      </c>
      <c r="L427" s="107" t="s">
        <v>978</v>
      </c>
      <c r="M427" s="108" t="s">
        <v>31</v>
      </c>
      <c r="N427" s="108">
        <v>8.7799999999999994</v>
      </c>
      <c r="O427" s="108">
        <v>3.38</v>
      </c>
      <c r="P427" s="112">
        <f t="shared" si="30"/>
        <v>5.3999999999999995</v>
      </c>
      <c r="Q427" s="111">
        <v>150</v>
      </c>
      <c r="R427" s="113">
        <f t="shared" si="31"/>
        <v>809.99999999999989</v>
      </c>
      <c r="S427" s="111">
        <v>810</v>
      </c>
      <c r="T427" s="114"/>
      <c r="V427" s="114" t="s">
        <v>24</v>
      </c>
      <c r="W427" s="111"/>
      <c r="X427" s="115">
        <f t="shared" si="32"/>
        <v>0</v>
      </c>
      <c r="Y427" s="116"/>
      <c r="Z427" s="116">
        <f t="shared" si="33"/>
        <v>0</v>
      </c>
      <c r="AA427" s="114">
        <f t="shared" si="34"/>
        <v>809.99999999999989</v>
      </c>
    </row>
    <row r="428" spans="1:27" s="117" customFormat="1" ht="15.75">
      <c r="A428" s="32">
        <v>425</v>
      </c>
      <c r="B428" s="106">
        <v>45947</v>
      </c>
      <c r="C428" s="106">
        <v>45947</v>
      </c>
      <c r="D428" s="107" t="s">
        <v>1122</v>
      </c>
      <c r="E428" s="108"/>
      <c r="F428" s="108"/>
      <c r="G428" s="108"/>
      <c r="H428" s="109"/>
      <c r="I428" s="108" t="s">
        <v>607</v>
      </c>
      <c r="J428" s="110" t="s">
        <v>23</v>
      </c>
      <c r="K428" s="110" t="s">
        <v>30</v>
      </c>
      <c r="L428" s="107" t="s">
        <v>608</v>
      </c>
      <c r="M428" s="108" t="s">
        <v>31</v>
      </c>
      <c r="N428" s="108">
        <v>9.2799999999999994</v>
      </c>
      <c r="O428" s="108">
        <v>3.34</v>
      </c>
      <c r="P428" s="112">
        <f t="shared" si="30"/>
        <v>5.9399999999999995</v>
      </c>
      <c r="Q428" s="111">
        <v>150</v>
      </c>
      <c r="R428" s="113">
        <f t="shared" si="31"/>
        <v>890.99999999999989</v>
      </c>
      <c r="S428" s="111">
        <v>891</v>
      </c>
      <c r="T428" s="114"/>
      <c r="V428" s="114" t="s">
        <v>24</v>
      </c>
      <c r="W428" s="111"/>
      <c r="X428" s="115">
        <f t="shared" si="32"/>
        <v>0</v>
      </c>
      <c r="Y428" s="116"/>
      <c r="Z428" s="116">
        <f t="shared" si="33"/>
        <v>0</v>
      </c>
      <c r="AA428" s="114">
        <f t="shared" si="34"/>
        <v>890.99999999999989</v>
      </c>
    </row>
    <row r="429" spans="1:27" s="117" customFormat="1" ht="15.75">
      <c r="A429" s="32">
        <v>426</v>
      </c>
      <c r="B429" s="106">
        <v>45947</v>
      </c>
      <c r="C429" s="106">
        <v>45947</v>
      </c>
      <c r="D429" s="107" t="s">
        <v>1123</v>
      </c>
      <c r="E429" s="108"/>
      <c r="F429" s="108"/>
      <c r="G429" s="108"/>
      <c r="H429" s="154"/>
      <c r="I429" s="155" t="s">
        <v>980</v>
      </c>
      <c r="J429" s="110" t="s">
        <v>23</v>
      </c>
      <c r="K429" s="110" t="s">
        <v>30</v>
      </c>
      <c r="L429" s="107" t="s">
        <v>1104</v>
      </c>
      <c r="M429" s="108" t="s">
        <v>31</v>
      </c>
      <c r="N429" s="108">
        <v>9.18</v>
      </c>
      <c r="O429" s="108">
        <v>3.5</v>
      </c>
      <c r="P429" s="112">
        <f t="shared" si="30"/>
        <v>5.68</v>
      </c>
      <c r="Q429" s="111">
        <v>150</v>
      </c>
      <c r="R429" s="113">
        <f t="shared" si="31"/>
        <v>852</v>
      </c>
      <c r="S429" s="111">
        <v>852</v>
      </c>
      <c r="T429" s="114"/>
      <c r="V429" s="114" t="s">
        <v>24</v>
      </c>
      <c r="W429" s="111"/>
      <c r="X429" s="115">
        <f t="shared" si="32"/>
        <v>0</v>
      </c>
      <c r="Y429" s="116"/>
      <c r="Z429" s="116">
        <f t="shared" si="33"/>
        <v>0</v>
      </c>
      <c r="AA429" s="114">
        <f t="shared" si="34"/>
        <v>852</v>
      </c>
    </row>
    <row r="430" spans="1:27" s="117" customFormat="1" ht="15.75">
      <c r="A430" s="32">
        <v>427</v>
      </c>
      <c r="B430" s="106">
        <v>45947</v>
      </c>
      <c r="C430" s="106">
        <v>45947</v>
      </c>
      <c r="D430" s="107" t="s">
        <v>1124</v>
      </c>
      <c r="E430" s="108"/>
      <c r="F430" s="108"/>
      <c r="G430" s="108"/>
      <c r="H430" s="154"/>
      <c r="I430" s="155" t="s">
        <v>980</v>
      </c>
      <c r="J430" s="110" t="s">
        <v>23</v>
      </c>
      <c r="K430" s="110" t="s">
        <v>30</v>
      </c>
      <c r="L430" s="107" t="s">
        <v>936</v>
      </c>
      <c r="M430" s="108" t="s">
        <v>31</v>
      </c>
      <c r="N430" s="108">
        <v>9.68</v>
      </c>
      <c r="O430" s="108">
        <v>3.46</v>
      </c>
      <c r="P430" s="112">
        <f t="shared" si="30"/>
        <v>6.22</v>
      </c>
      <c r="Q430" s="111">
        <v>150</v>
      </c>
      <c r="R430" s="113">
        <f t="shared" si="31"/>
        <v>933</v>
      </c>
      <c r="S430" s="111">
        <v>933</v>
      </c>
      <c r="T430" s="114"/>
      <c r="V430" s="114" t="s">
        <v>24</v>
      </c>
      <c r="W430" s="111"/>
      <c r="X430" s="115">
        <f t="shared" si="32"/>
        <v>0</v>
      </c>
      <c r="Y430" s="116"/>
      <c r="Z430" s="116">
        <f t="shared" si="33"/>
        <v>0</v>
      </c>
      <c r="AA430" s="114">
        <f t="shared" si="34"/>
        <v>933</v>
      </c>
    </row>
    <row r="431" spans="1:27" s="117" customFormat="1" ht="15.75">
      <c r="A431" s="32">
        <v>428</v>
      </c>
      <c r="B431" s="106">
        <v>45947</v>
      </c>
      <c r="C431" s="106">
        <v>45947</v>
      </c>
      <c r="D431" s="107">
        <v>251017026</v>
      </c>
      <c r="E431" s="108" t="s">
        <v>1125</v>
      </c>
      <c r="F431" s="108" t="s">
        <v>1126</v>
      </c>
      <c r="G431" s="108">
        <v>28</v>
      </c>
      <c r="H431" s="158">
        <v>115</v>
      </c>
      <c r="I431" s="36" t="s">
        <v>46</v>
      </c>
      <c r="J431" s="42" t="s">
        <v>23</v>
      </c>
      <c r="K431" s="43" t="s">
        <v>38</v>
      </c>
      <c r="L431" s="108" t="s">
        <v>190</v>
      </c>
      <c r="M431" s="108" t="s">
        <v>40</v>
      </c>
      <c r="N431" s="108">
        <v>41.37</v>
      </c>
      <c r="O431" s="108">
        <v>11.39</v>
      </c>
      <c r="P431" s="112">
        <f t="shared" si="30"/>
        <v>29.979999999999997</v>
      </c>
      <c r="Q431" s="111">
        <v>315</v>
      </c>
      <c r="R431" s="113">
        <f t="shared" si="31"/>
        <v>9443.6999999999989</v>
      </c>
      <c r="S431" s="111"/>
      <c r="T431" s="114"/>
      <c r="V431" s="114" t="s">
        <v>215</v>
      </c>
      <c r="W431" s="111">
        <v>145</v>
      </c>
      <c r="X431" s="115">
        <f t="shared" si="32"/>
        <v>4347.0999999999995</v>
      </c>
      <c r="Y431" s="116">
        <v>260</v>
      </c>
      <c r="Z431" s="116">
        <f t="shared" si="33"/>
        <v>7794.7999999999993</v>
      </c>
      <c r="AA431" s="114">
        <f t="shared" si="34"/>
        <v>21585.599999999999</v>
      </c>
    </row>
    <row r="432" spans="1:27" s="117" customFormat="1" ht="15.75">
      <c r="A432" s="32">
        <v>429</v>
      </c>
      <c r="B432" s="106">
        <v>45947</v>
      </c>
      <c r="C432" s="106">
        <v>45948</v>
      </c>
      <c r="D432" s="136">
        <v>251018001</v>
      </c>
      <c r="E432" s="108" t="s">
        <v>1127</v>
      </c>
      <c r="F432" s="108" t="s">
        <v>1128</v>
      </c>
      <c r="G432" s="108">
        <v>48</v>
      </c>
      <c r="H432" s="156">
        <v>18</v>
      </c>
      <c r="I432" s="138" t="s">
        <v>155</v>
      </c>
      <c r="J432" s="35" t="s">
        <v>23</v>
      </c>
      <c r="K432" s="36" t="s">
        <v>38</v>
      </c>
      <c r="L432" s="108" t="s">
        <v>92</v>
      </c>
      <c r="M432" s="108" t="s">
        <v>55</v>
      </c>
      <c r="N432" s="108">
        <v>64.48</v>
      </c>
      <c r="O432" s="108">
        <v>15.82</v>
      </c>
      <c r="P432" s="112">
        <f t="shared" si="30"/>
        <v>48.660000000000004</v>
      </c>
      <c r="Q432" s="111">
        <v>453</v>
      </c>
      <c r="R432" s="113">
        <f t="shared" si="31"/>
        <v>22042.980000000003</v>
      </c>
      <c r="S432" s="111"/>
      <c r="T432" s="114"/>
      <c r="V432" s="114" t="s">
        <v>24</v>
      </c>
      <c r="W432" s="111">
        <v>145</v>
      </c>
      <c r="X432" s="115">
        <f t="shared" si="32"/>
        <v>7055.7000000000007</v>
      </c>
      <c r="Y432" s="116">
        <v>240</v>
      </c>
      <c r="Z432" s="114">
        <f t="shared" si="33"/>
        <v>11678.400000000001</v>
      </c>
      <c r="AA432" s="114">
        <f t="shared" si="34"/>
        <v>40777.08</v>
      </c>
    </row>
    <row r="433" spans="1:38" s="117" customFormat="1" ht="15.75">
      <c r="A433" s="32">
        <v>430</v>
      </c>
      <c r="B433" s="106">
        <v>45947</v>
      </c>
      <c r="C433" s="106">
        <v>45948</v>
      </c>
      <c r="D433" s="107">
        <v>251018002</v>
      </c>
      <c r="E433" s="108" t="s">
        <v>1129</v>
      </c>
      <c r="F433" s="108" t="s">
        <v>1130</v>
      </c>
      <c r="G433" s="108">
        <v>39</v>
      </c>
      <c r="H433" s="156">
        <v>18</v>
      </c>
      <c r="I433" s="138" t="s">
        <v>155</v>
      </c>
      <c r="J433" s="35" t="s">
        <v>23</v>
      </c>
      <c r="K433" s="36" t="s">
        <v>38</v>
      </c>
      <c r="L433" s="108" t="s">
        <v>89</v>
      </c>
      <c r="M433" s="108" t="s">
        <v>55</v>
      </c>
      <c r="N433" s="108">
        <v>51.68</v>
      </c>
      <c r="O433" s="108">
        <v>11.7</v>
      </c>
      <c r="P433" s="112">
        <f t="shared" si="30"/>
        <v>39.980000000000004</v>
      </c>
      <c r="Q433" s="111">
        <v>453</v>
      </c>
      <c r="R433" s="113">
        <f t="shared" si="31"/>
        <v>18110.940000000002</v>
      </c>
      <c r="S433" s="111"/>
      <c r="T433" s="114"/>
      <c r="V433" s="114" t="s">
        <v>24</v>
      </c>
      <c r="W433" s="111">
        <v>145</v>
      </c>
      <c r="X433" s="115">
        <f t="shared" si="32"/>
        <v>5797.1</v>
      </c>
      <c r="Y433" s="116">
        <v>240</v>
      </c>
      <c r="Z433" s="114">
        <f t="shared" si="33"/>
        <v>9595.2000000000007</v>
      </c>
      <c r="AA433" s="114">
        <f t="shared" si="34"/>
        <v>33503.240000000005</v>
      </c>
    </row>
    <row r="434" spans="1:38" s="117" customFormat="1" ht="15.75">
      <c r="A434" s="32">
        <v>431</v>
      </c>
      <c r="B434" s="106">
        <v>45947</v>
      </c>
      <c r="C434" s="106">
        <v>45948</v>
      </c>
      <c r="D434" s="107">
        <v>251018003</v>
      </c>
      <c r="E434" s="108" t="s">
        <v>1131</v>
      </c>
      <c r="F434" s="108" t="s">
        <v>1132</v>
      </c>
      <c r="G434" s="108">
        <v>32</v>
      </c>
      <c r="H434" s="139"/>
      <c r="I434" s="36" t="s">
        <v>760</v>
      </c>
      <c r="J434" s="35" t="s">
        <v>23</v>
      </c>
      <c r="K434" s="36" t="s">
        <v>38</v>
      </c>
      <c r="L434" s="108" t="s">
        <v>107</v>
      </c>
      <c r="M434" s="108" t="s">
        <v>502</v>
      </c>
      <c r="N434" s="108">
        <v>44.44</v>
      </c>
      <c r="O434" s="108">
        <v>11.86</v>
      </c>
      <c r="P434" s="112">
        <f t="shared" si="30"/>
        <v>32.58</v>
      </c>
      <c r="Q434" s="111">
        <v>415</v>
      </c>
      <c r="R434" s="113">
        <f t="shared" si="31"/>
        <v>13520.699999999999</v>
      </c>
      <c r="S434" s="111"/>
      <c r="T434" s="114"/>
      <c r="V434" s="114" t="s">
        <v>24</v>
      </c>
      <c r="W434" s="111">
        <v>145</v>
      </c>
      <c r="X434" s="115">
        <f t="shared" si="32"/>
        <v>4724.0999999999995</v>
      </c>
      <c r="Y434" s="116">
        <v>230</v>
      </c>
      <c r="Z434" s="116">
        <f t="shared" si="33"/>
        <v>7493.4</v>
      </c>
      <c r="AA434" s="114">
        <f t="shared" si="34"/>
        <v>25738.199999999997</v>
      </c>
    </row>
    <row r="435" spans="1:38" s="117" customFormat="1" ht="15.75">
      <c r="A435" s="32">
        <v>432</v>
      </c>
      <c r="B435" s="106">
        <v>45947</v>
      </c>
      <c r="C435" s="106">
        <v>45948</v>
      </c>
      <c r="D435" s="107">
        <v>251018004</v>
      </c>
      <c r="E435" s="108" t="s">
        <v>1133</v>
      </c>
      <c r="F435" s="108" t="s">
        <v>1134</v>
      </c>
      <c r="G435" s="108">
        <v>31</v>
      </c>
      <c r="H435" s="154"/>
      <c r="I435" s="36" t="s">
        <v>760</v>
      </c>
      <c r="J435" s="35" t="s">
        <v>23</v>
      </c>
      <c r="K435" s="36" t="s">
        <v>38</v>
      </c>
      <c r="L435" s="108" t="s">
        <v>110</v>
      </c>
      <c r="M435" s="108" t="s">
        <v>502</v>
      </c>
      <c r="N435" s="153">
        <v>43.4</v>
      </c>
      <c r="O435" s="153">
        <v>11.84</v>
      </c>
      <c r="P435" s="112">
        <f t="shared" si="30"/>
        <v>31.56</v>
      </c>
      <c r="Q435" s="111">
        <v>415</v>
      </c>
      <c r="R435" s="113">
        <f t="shared" si="31"/>
        <v>13097.4</v>
      </c>
      <c r="S435" s="111"/>
      <c r="T435" s="114"/>
      <c r="V435" s="114" t="s">
        <v>24</v>
      </c>
      <c r="W435" s="111">
        <v>145</v>
      </c>
      <c r="X435" s="115">
        <f t="shared" si="32"/>
        <v>4576.2</v>
      </c>
      <c r="Y435" s="116">
        <v>230</v>
      </c>
      <c r="Z435" s="116">
        <f t="shared" si="33"/>
        <v>7258.7999999999993</v>
      </c>
      <c r="AA435" s="114">
        <f t="shared" si="34"/>
        <v>24932.399999999998</v>
      </c>
    </row>
    <row r="436" spans="1:38" s="117" customFormat="1" ht="15.75">
      <c r="A436" s="32">
        <v>433</v>
      </c>
      <c r="B436" s="106">
        <v>45947</v>
      </c>
      <c r="C436" s="106">
        <v>45948</v>
      </c>
      <c r="D436" s="107">
        <v>251018005</v>
      </c>
      <c r="E436" s="108" t="s">
        <v>1135</v>
      </c>
      <c r="F436" s="108" t="s">
        <v>1136</v>
      </c>
      <c r="G436" s="108">
        <v>30</v>
      </c>
      <c r="H436" s="137">
        <v>119</v>
      </c>
      <c r="I436" s="36" t="s">
        <v>501</v>
      </c>
      <c r="J436" s="42" t="s">
        <v>23</v>
      </c>
      <c r="K436" s="36" t="s">
        <v>38</v>
      </c>
      <c r="L436" s="107" t="s">
        <v>190</v>
      </c>
      <c r="M436" s="108" t="s">
        <v>502</v>
      </c>
      <c r="N436" s="108">
        <v>42.42</v>
      </c>
      <c r="O436" s="153">
        <v>11.78</v>
      </c>
      <c r="P436" s="112">
        <f t="shared" si="30"/>
        <v>30.64</v>
      </c>
      <c r="Q436" s="111">
        <v>425</v>
      </c>
      <c r="R436" s="113">
        <f t="shared" si="31"/>
        <v>13022</v>
      </c>
      <c r="S436" s="111"/>
      <c r="T436" s="114"/>
      <c r="V436" s="114" t="s">
        <v>24</v>
      </c>
      <c r="W436" s="111">
        <v>145</v>
      </c>
      <c r="X436" s="115">
        <f t="shared" si="32"/>
        <v>4442.8</v>
      </c>
      <c r="Y436" s="116">
        <v>150</v>
      </c>
      <c r="Z436" s="116">
        <f t="shared" si="33"/>
        <v>4596</v>
      </c>
      <c r="AA436" s="114">
        <f t="shared" si="34"/>
        <v>22060.799999999999</v>
      </c>
    </row>
    <row r="437" spans="1:38" s="120" customFormat="1" ht="15.75">
      <c r="A437" s="32">
        <v>434</v>
      </c>
      <c r="B437" s="106">
        <v>45947</v>
      </c>
      <c r="C437" s="106">
        <v>45948</v>
      </c>
      <c r="D437" s="107">
        <v>251018006</v>
      </c>
      <c r="E437" s="108" t="s">
        <v>1137</v>
      </c>
      <c r="F437" s="108" t="s">
        <v>1138</v>
      </c>
      <c r="G437" s="108">
        <v>41</v>
      </c>
      <c r="H437" s="137">
        <v>119</v>
      </c>
      <c r="I437" s="36" t="s">
        <v>501</v>
      </c>
      <c r="J437" s="42" t="s">
        <v>23</v>
      </c>
      <c r="K437" s="36" t="s">
        <v>38</v>
      </c>
      <c r="L437" s="107" t="s">
        <v>1066</v>
      </c>
      <c r="M437" s="108" t="s">
        <v>502</v>
      </c>
      <c r="N437" s="108">
        <v>58.32</v>
      </c>
      <c r="O437" s="108">
        <v>15.82</v>
      </c>
      <c r="P437" s="112">
        <f t="shared" si="30"/>
        <v>42.5</v>
      </c>
      <c r="Q437" s="111">
        <v>425</v>
      </c>
      <c r="R437" s="113">
        <f t="shared" si="31"/>
        <v>18062.5</v>
      </c>
      <c r="S437" s="111"/>
      <c r="T437" s="114"/>
      <c r="V437" s="114" t="s">
        <v>24</v>
      </c>
      <c r="W437" s="111">
        <v>145</v>
      </c>
      <c r="X437" s="115">
        <f t="shared" si="32"/>
        <v>6162.5</v>
      </c>
      <c r="Y437" s="116">
        <v>150</v>
      </c>
      <c r="Z437" s="116">
        <f t="shared" si="33"/>
        <v>6375</v>
      </c>
      <c r="AA437" s="114">
        <f t="shared" si="34"/>
        <v>30600</v>
      </c>
    </row>
    <row r="438" spans="1:38" s="117" customFormat="1" ht="15.75">
      <c r="A438" s="32">
        <v>435</v>
      </c>
      <c r="B438" s="106">
        <v>45948</v>
      </c>
      <c r="C438" s="106">
        <v>45948</v>
      </c>
      <c r="D438" s="107" t="s">
        <v>1139</v>
      </c>
      <c r="E438" s="108"/>
      <c r="F438" s="108"/>
      <c r="G438" s="108"/>
      <c r="H438" s="139"/>
      <c r="I438" s="12" t="s">
        <v>607</v>
      </c>
      <c r="J438" s="141" t="s">
        <v>23</v>
      </c>
      <c r="K438" s="12" t="s">
        <v>30</v>
      </c>
      <c r="L438" s="108" t="s">
        <v>608</v>
      </c>
      <c r="M438" s="108" t="s">
        <v>31</v>
      </c>
      <c r="N438" s="108">
        <v>8.94</v>
      </c>
      <c r="O438" s="108">
        <v>3.3</v>
      </c>
      <c r="P438" s="112">
        <f t="shared" si="30"/>
        <v>5.64</v>
      </c>
      <c r="Q438" s="111">
        <v>150</v>
      </c>
      <c r="R438" s="113">
        <f t="shared" si="31"/>
        <v>846</v>
      </c>
      <c r="S438" s="111">
        <v>846</v>
      </c>
      <c r="T438" s="114"/>
      <c r="V438" s="114" t="s">
        <v>24</v>
      </c>
      <c r="W438" s="111"/>
      <c r="X438" s="115">
        <f t="shared" si="32"/>
        <v>0</v>
      </c>
      <c r="Y438" s="116"/>
      <c r="Z438" s="114">
        <f t="shared" si="33"/>
        <v>0</v>
      </c>
      <c r="AA438" s="114">
        <f t="shared" si="34"/>
        <v>846</v>
      </c>
    </row>
    <row r="439" spans="1:38" s="117" customFormat="1" ht="15.75">
      <c r="A439" s="32">
        <v>436</v>
      </c>
      <c r="B439" s="106">
        <v>45948</v>
      </c>
      <c r="C439" s="106">
        <v>45948</v>
      </c>
      <c r="D439" s="107">
        <v>251018008</v>
      </c>
      <c r="E439" s="108" t="s">
        <v>1140</v>
      </c>
      <c r="F439" s="108" t="s">
        <v>1141</v>
      </c>
      <c r="G439" s="108">
        <v>37</v>
      </c>
      <c r="H439" s="158">
        <v>115</v>
      </c>
      <c r="I439" s="36" t="s">
        <v>46</v>
      </c>
      <c r="J439" s="42" t="s">
        <v>23</v>
      </c>
      <c r="K439" s="43" t="s">
        <v>38</v>
      </c>
      <c r="L439" s="107" t="s">
        <v>113</v>
      </c>
      <c r="M439" s="108" t="s">
        <v>55</v>
      </c>
      <c r="N439" s="108">
        <v>50</v>
      </c>
      <c r="O439" s="108">
        <v>11.72</v>
      </c>
      <c r="P439" s="118">
        <f t="shared" si="30"/>
        <v>38.28</v>
      </c>
      <c r="Q439" s="111">
        <v>445</v>
      </c>
      <c r="R439" s="113">
        <f t="shared" si="31"/>
        <v>17034.600000000002</v>
      </c>
      <c r="S439" s="111"/>
      <c r="T439" s="116"/>
      <c r="V439" s="114" t="s">
        <v>24</v>
      </c>
      <c r="W439" s="111">
        <v>145</v>
      </c>
      <c r="X439" s="115">
        <f t="shared" si="32"/>
        <v>5550.6</v>
      </c>
      <c r="Y439" s="116">
        <v>260</v>
      </c>
      <c r="Z439" s="116">
        <f t="shared" si="33"/>
        <v>9952.8000000000011</v>
      </c>
      <c r="AA439" s="114">
        <f t="shared" si="34"/>
        <v>32538.000000000007</v>
      </c>
    </row>
    <row r="440" spans="1:38" s="117" customFormat="1" ht="15.75">
      <c r="A440" s="32">
        <v>437</v>
      </c>
      <c r="B440" s="106">
        <v>45948</v>
      </c>
      <c r="C440" s="106">
        <v>45948</v>
      </c>
      <c r="D440" s="107">
        <v>251018009</v>
      </c>
      <c r="E440" s="108" t="s">
        <v>1142</v>
      </c>
      <c r="F440" s="108" t="s">
        <v>1143</v>
      </c>
      <c r="G440" s="108">
        <v>42</v>
      </c>
      <c r="H440" s="158">
        <v>115</v>
      </c>
      <c r="I440" s="36" t="s">
        <v>46</v>
      </c>
      <c r="J440" s="42" t="s">
        <v>23</v>
      </c>
      <c r="K440" s="43" t="s">
        <v>38</v>
      </c>
      <c r="L440" s="107" t="s">
        <v>125</v>
      </c>
      <c r="M440" s="108" t="s">
        <v>40</v>
      </c>
      <c r="N440" s="108">
        <v>59</v>
      </c>
      <c r="O440" s="108">
        <v>15.66</v>
      </c>
      <c r="P440" s="112">
        <f t="shared" si="30"/>
        <v>43.34</v>
      </c>
      <c r="Q440" s="111">
        <v>315</v>
      </c>
      <c r="R440" s="113">
        <f t="shared" si="31"/>
        <v>13652.1</v>
      </c>
      <c r="S440" s="111"/>
      <c r="T440" s="114"/>
      <c r="V440" s="114" t="s">
        <v>24</v>
      </c>
      <c r="W440" s="111">
        <v>145</v>
      </c>
      <c r="X440" s="115">
        <f t="shared" si="32"/>
        <v>6284.3</v>
      </c>
      <c r="Y440" s="116">
        <v>260</v>
      </c>
      <c r="Z440" s="116">
        <f t="shared" si="33"/>
        <v>11268.400000000001</v>
      </c>
      <c r="AA440" s="114">
        <f t="shared" si="34"/>
        <v>31204.800000000003</v>
      </c>
    </row>
    <row r="441" spans="1:38" s="117" customFormat="1" ht="15.75">
      <c r="A441" s="32">
        <v>438</v>
      </c>
      <c r="B441" s="106">
        <v>45948</v>
      </c>
      <c r="C441" s="106">
        <v>45948</v>
      </c>
      <c r="D441" s="107">
        <v>251018010</v>
      </c>
      <c r="E441" s="108" t="s">
        <v>1144</v>
      </c>
      <c r="F441" s="108" t="s">
        <v>1145</v>
      </c>
      <c r="G441" s="108">
        <v>56</v>
      </c>
      <c r="H441" s="158">
        <v>115</v>
      </c>
      <c r="I441" s="36" t="s">
        <v>46</v>
      </c>
      <c r="J441" s="42" t="s">
        <v>23</v>
      </c>
      <c r="K441" s="43" t="s">
        <v>38</v>
      </c>
      <c r="L441" s="107" t="s">
        <v>172</v>
      </c>
      <c r="M441" s="108" t="s">
        <v>40</v>
      </c>
      <c r="N441" s="108">
        <v>74.38</v>
      </c>
      <c r="O441" s="108">
        <v>17.3</v>
      </c>
      <c r="P441" s="112">
        <f t="shared" si="30"/>
        <v>57.08</v>
      </c>
      <c r="Q441" s="111">
        <v>315</v>
      </c>
      <c r="R441" s="113">
        <f t="shared" si="31"/>
        <v>17980.2</v>
      </c>
      <c r="S441" s="111"/>
      <c r="T441" s="114"/>
      <c r="V441" s="114" t="s">
        <v>24</v>
      </c>
      <c r="W441" s="111">
        <v>145</v>
      </c>
      <c r="X441" s="115">
        <f t="shared" si="32"/>
        <v>8276.6</v>
      </c>
      <c r="Y441" s="116">
        <v>260</v>
      </c>
      <c r="Z441" s="116">
        <f t="shared" si="33"/>
        <v>14840.8</v>
      </c>
      <c r="AA441" s="114">
        <f t="shared" si="34"/>
        <v>41097.600000000006</v>
      </c>
    </row>
    <row r="442" spans="1:38" s="120" customFormat="1" ht="15.75">
      <c r="A442" s="32">
        <v>439</v>
      </c>
      <c r="B442" s="106">
        <v>45948</v>
      </c>
      <c r="C442" s="106">
        <v>45948</v>
      </c>
      <c r="D442" s="107">
        <v>251018011</v>
      </c>
      <c r="E442" s="108" t="s">
        <v>1146</v>
      </c>
      <c r="F442" s="108" t="s">
        <v>1147</v>
      </c>
      <c r="G442" s="108">
        <v>38</v>
      </c>
      <c r="H442" s="158">
        <v>115</v>
      </c>
      <c r="I442" s="36" t="s">
        <v>46</v>
      </c>
      <c r="J442" s="42" t="s">
        <v>23</v>
      </c>
      <c r="K442" s="43" t="s">
        <v>38</v>
      </c>
      <c r="L442" s="107" t="s">
        <v>98</v>
      </c>
      <c r="M442" s="108" t="s">
        <v>55</v>
      </c>
      <c r="N442" s="153">
        <v>51.18</v>
      </c>
      <c r="O442" s="108">
        <v>11.7</v>
      </c>
      <c r="P442" s="112">
        <f t="shared" si="30"/>
        <v>39.480000000000004</v>
      </c>
      <c r="Q442" s="111">
        <v>445</v>
      </c>
      <c r="R442" s="113">
        <f t="shared" si="31"/>
        <v>17568.600000000002</v>
      </c>
      <c r="S442" s="111"/>
      <c r="T442" s="114"/>
      <c r="V442" s="114" t="s">
        <v>24</v>
      </c>
      <c r="W442" s="111">
        <v>145</v>
      </c>
      <c r="X442" s="115">
        <f t="shared" si="32"/>
        <v>5724.6</v>
      </c>
      <c r="Y442" s="116">
        <v>260</v>
      </c>
      <c r="Z442" s="116">
        <f t="shared" si="33"/>
        <v>10264.800000000001</v>
      </c>
      <c r="AA442" s="114">
        <f t="shared" si="34"/>
        <v>33558.000000000007</v>
      </c>
    </row>
    <row r="443" spans="1:38" s="117" customFormat="1" ht="15.75">
      <c r="A443" s="32">
        <v>440</v>
      </c>
      <c r="B443" s="106">
        <v>45948</v>
      </c>
      <c r="C443" s="106">
        <v>45948</v>
      </c>
      <c r="D443" s="107">
        <v>251018012</v>
      </c>
      <c r="E443" s="108" t="s">
        <v>1148</v>
      </c>
      <c r="F443" s="108" t="s">
        <v>1149</v>
      </c>
      <c r="G443" s="108">
        <v>42</v>
      </c>
      <c r="H443" s="158">
        <v>115</v>
      </c>
      <c r="I443" s="36" t="s">
        <v>46</v>
      </c>
      <c r="J443" s="42" t="s">
        <v>23</v>
      </c>
      <c r="K443" s="43" t="s">
        <v>38</v>
      </c>
      <c r="L443" s="107" t="s">
        <v>116</v>
      </c>
      <c r="M443" s="108" t="s">
        <v>40</v>
      </c>
      <c r="N443" s="108">
        <v>58.54</v>
      </c>
      <c r="O443" s="108">
        <v>14.94</v>
      </c>
      <c r="P443" s="112">
        <f t="shared" si="30"/>
        <v>43.6</v>
      </c>
      <c r="Q443" s="111">
        <v>315</v>
      </c>
      <c r="R443" s="113">
        <f t="shared" si="31"/>
        <v>13734</v>
      </c>
      <c r="S443" s="111"/>
      <c r="T443" s="114"/>
      <c r="V443" s="114" t="s">
        <v>24</v>
      </c>
      <c r="W443" s="111">
        <v>145</v>
      </c>
      <c r="X443" s="115">
        <f t="shared" si="32"/>
        <v>6322</v>
      </c>
      <c r="Y443" s="116">
        <v>260</v>
      </c>
      <c r="Z443" s="114">
        <f t="shared" si="33"/>
        <v>11336</v>
      </c>
      <c r="AA443" s="114">
        <f t="shared" si="34"/>
        <v>31392</v>
      </c>
    </row>
    <row r="444" spans="1:38" s="117" customFormat="1" ht="15.75">
      <c r="A444" s="32">
        <v>441</v>
      </c>
      <c r="B444" s="106">
        <v>45948</v>
      </c>
      <c r="C444" s="106">
        <v>45948</v>
      </c>
      <c r="D444" s="107">
        <v>251018013</v>
      </c>
      <c r="E444" s="108" t="s">
        <v>1150</v>
      </c>
      <c r="F444" s="108" t="s">
        <v>1151</v>
      </c>
      <c r="G444" s="108">
        <v>44</v>
      </c>
      <c r="H444" s="158">
        <v>115</v>
      </c>
      <c r="I444" s="36" t="s">
        <v>46</v>
      </c>
      <c r="J444" s="42" t="s">
        <v>23</v>
      </c>
      <c r="K444" s="43" t="s">
        <v>38</v>
      </c>
      <c r="L444" s="107" t="s">
        <v>82</v>
      </c>
      <c r="M444" s="108" t="s">
        <v>48</v>
      </c>
      <c r="N444" s="108">
        <v>60.12</v>
      </c>
      <c r="O444" s="108">
        <v>15.1</v>
      </c>
      <c r="P444" s="112">
        <f t="shared" si="30"/>
        <v>45.019999999999996</v>
      </c>
      <c r="Q444" s="111">
        <v>545</v>
      </c>
      <c r="R444" s="113">
        <f t="shared" si="31"/>
        <v>24535.899999999998</v>
      </c>
      <c r="S444" s="111"/>
      <c r="T444" s="114"/>
      <c r="V444" s="114" t="s">
        <v>24</v>
      </c>
      <c r="W444" s="111">
        <v>145</v>
      </c>
      <c r="X444" s="115">
        <f t="shared" si="32"/>
        <v>6527.9</v>
      </c>
      <c r="Y444" s="116">
        <v>260</v>
      </c>
      <c r="Z444" s="114">
        <f t="shared" si="33"/>
        <v>11705.199999999999</v>
      </c>
      <c r="AA444" s="114">
        <f t="shared" si="34"/>
        <v>42768.999999999993</v>
      </c>
    </row>
    <row r="445" spans="1:38" s="117" customFormat="1" ht="15.75">
      <c r="A445" s="32">
        <v>442</v>
      </c>
      <c r="B445" s="106">
        <v>45948</v>
      </c>
      <c r="C445" s="106">
        <v>45948</v>
      </c>
      <c r="D445" s="107">
        <v>251018014</v>
      </c>
      <c r="E445" s="108" t="s">
        <v>1152</v>
      </c>
      <c r="F445" s="108" t="s">
        <v>1153</v>
      </c>
      <c r="G445" s="108">
        <v>31</v>
      </c>
      <c r="H445" s="158">
        <v>115</v>
      </c>
      <c r="I445" s="36" t="s">
        <v>46</v>
      </c>
      <c r="J445" s="42" t="s">
        <v>23</v>
      </c>
      <c r="K445" s="43" t="s">
        <v>38</v>
      </c>
      <c r="L445" s="107" t="s">
        <v>39</v>
      </c>
      <c r="M445" s="108" t="s">
        <v>48</v>
      </c>
      <c r="N445" s="153">
        <v>42.72</v>
      </c>
      <c r="O445" s="108">
        <v>10.5</v>
      </c>
      <c r="P445" s="112">
        <f t="shared" si="30"/>
        <v>32.22</v>
      </c>
      <c r="Q445" s="111">
        <v>545</v>
      </c>
      <c r="R445" s="113">
        <f t="shared" si="31"/>
        <v>17559.899999999998</v>
      </c>
      <c r="S445" s="111"/>
      <c r="T445" s="114"/>
      <c r="V445" s="114" t="s">
        <v>24</v>
      </c>
      <c r="W445" s="111">
        <v>145</v>
      </c>
      <c r="X445" s="115">
        <f t="shared" si="32"/>
        <v>4671.8999999999996</v>
      </c>
      <c r="Y445" s="116">
        <v>260</v>
      </c>
      <c r="Z445" s="116">
        <f t="shared" si="33"/>
        <v>8377.1999999999989</v>
      </c>
      <c r="AA445" s="114">
        <f t="shared" si="34"/>
        <v>30608.999999999993</v>
      </c>
    </row>
    <row r="446" spans="1:38" s="117" customFormat="1" ht="17.100000000000001" customHeight="1">
      <c r="A446" s="32">
        <v>443</v>
      </c>
      <c r="B446" s="106">
        <v>45948</v>
      </c>
      <c r="C446" s="106">
        <v>45948</v>
      </c>
      <c r="D446" s="107" t="s">
        <v>1154</v>
      </c>
      <c r="E446" s="108"/>
      <c r="F446" s="108"/>
      <c r="G446" s="108"/>
      <c r="H446" s="109"/>
      <c r="I446" s="108" t="s">
        <v>1155</v>
      </c>
      <c r="J446" s="110" t="s">
        <v>23</v>
      </c>
      <c r="K446" s="110" t="s">
        <v>30</v>
      </c>
      <c r="L446" s="107" t="s">
        <v>769</v>
      </c>
      <c r="M446" s="108" t="s">
        <v>31</v>
      </c>
      <c r="N446" s="108">
        <v>9.24</v>
      </c>
      <c r="O446" s="108">
        <v>3.24</v>
      </c>
      <c r="P446" s="112">
        <f t="shared" si="30"/>
        <v>6</v>
      </c>
      <c r="Q446" s="111">
        <v>150</v>
      </c>
      <c r="R446" s="113">
        <f t="shared" si="31"/>
        <v>900</v>
      </c>
      <c r="S446" s="111">
        <v>900</v>
      </c>
      <c r="T446" s="114"/>
      <c r="V446" s="114" t="s">
        <v>24</v>
      </c>
      <c r="W446" s="111"/>
      <c r="X446" s="115">
        <f t="shared" si="32"/>
        <v>0</v>
      </c>
      <c r="Y446" s="116"/>
      <c r="Z446" s="116">
        <f t="shared" si="33"/>
        <v>0</v>
      </c>
      <c r="AA446" s="114">
        <f t="shared" si="34"/>
        <v>900</v>
      </c>
      <c r="AB446" s="127"/>
      <c r="AC446" s="126"/>
      <c r="AD446" s="128"/>
      <c r="AE446" s="129"/>
      <c r="AF446" s="126"/>
      <c r="AG446" s="129"/>
      <c r="AH446" s="126"/>
      <c r="AI446" s="128"/>
      <c r="AJ446" s="126"/>
      <c r="AK446" s="128"/>
      <c r="AL446" s="128"/>
    </row>
    <row r="447" spans="1:38" s="117" customFormat="1" ht="15.75">
      <c r="A447" s="32">
        <v>444</v>
      </c>
      <c r="B447" s="106">
        <v>45948</v>
      </c>
      <c r="C447" s="106">
        <v>45948</v>
      </c>
      <c r="D447" s="107" t="s">
        <v>1156</v>
      </c>
      <c r="E447" s="108"/>
      <c r="F447" s="108"/>
      <c r="G447" s="108"/>
      <c r="H447" s="139"/>
      <c r="I447" s="12" t="s">
        <v>607</v>
      </c>
      <c r="J447" s="141" t="s">
        <v>23</v>
      </c>
      <c r="K447" s="12" t="s">
        <v>30</v>
      </c>
      <c r="L447" s="108" t="s">
        <v>608</v>
      </c>
      <c r="M447" s="108" t="s">
        <v>31</v>
      </c>
      <c r="N447" s="108">
        <v>8.8800000000000008</v>
      </c>
      <c r="O447" s="108">
        <v>3.34</v>
      </c>
      <c r="P447" s="112">
        <f t="shared" si="30"/>
        <v>5.5400000000000009</v>
      </c>
      <c r="Q447" s="111">
        <v>150</v>
      </c>
      <c r="R447" s="113">
        <f t="shared" si="31"/>
        <v>831.00000000000011</v>
      </c>
      <c r="S447" s="111">
        <v>831</v>
      </c>
      <c r="T447" s="114"/>
      <c r="V447" s="114" t="s">
        <v>24</v>
      </c>
      <c r="W447" s="111"/>
      <c r="X447" s="115">
        <f t="shared" si="32"/>
        <v>0</v>
      </c>
      <c r="Y447" s="116"/>
      <c r="Z447" s="116">
        <f t="shared" si="33"/>
        <v>0</v>
      </c>
      <c r="AA447" s="114">
        <f t="shared" si="34"/>
        <v>831.00000000000011</v>
      </c>
    </row>
    <row r="448" spans="1:38" s="117" customFormat="1" ht="15.75">
      <c r="A448" s="32">
        <v>445</v>
      </c>
      <c r="B448" s="106">
        <v>45948</v>
      </c>
      <c r="C448" s="106">
        <v>45948</v>
      </c>
      <c r="D448" s="107" t="s">
        <v>1157</v>
      </c>
      <c r="E448" s="108"/>
      <c r="F448" s="108"/>
      <c r="G448" s="108"/>
      <c r="H448" s="139"/>
      <c r="I448" s="12" t="s">
        <v>607</v>
      </c>
      <c r="J448" s="141" t="s">
        <v>23</v>
      </c>
      <c r="K448" s="12" t="s">
        <v>30</v>
      </c>
      <c r="L448" s="108" t="s">
        <v>978</v>
      </c>
      <c r="M448" s="108" t="s">
        <v>31</v>
      </c>
      <c r="N448" s="108">
        <v>9.24</v>
      </c>
      <c r="O448" s="108">
        <v>3.38</v>
      </c>
      <c r="P448" s="112">
        <f t="shared" si="30"/>
        <v>5.86</v>
      </c>
      <c r="Q448" s="111">
        <v>150</v>
      </c>
      <c r="R448" s="113">
        <f t="shared" si="31"/>
        <v>879</v>
      </c>
      <c r="S448" s="111">
        <v>879</v>
      </c>
      <c r="T448" s="114"/>
      <c r="V448" s="114" t="s">
        <v>24</v>
      </c>
      <c r="W448" s="111"/>
      <c r="X448" s="115">
        <f t="shared" si="32"/>
        <v>0</v>
      </c>
      <c r="Y448" s="116"/>
      <c r="Z448" s="116">
        <f t="shared" si="33"/>
        <v>0</v>
      </c>
      <c r="AA448" s="114">
        <f t="shared" si="34"/>
        <v>879</v>
      </c>
    </row>
    <row r="449" spans="1:27" s="117" customFormat="1" ht="15.75">
      <c r="A449" s="32">
        <v>446</v>
      </c>
      <c r="B449" s="106">
        <v>45948</v>
      </c>
      <c r="C449" s="106">
        <v>45948</v>
      </c>
      <c r="D449" s="107">
        <v>251018015</v>
      </c>
      <c r="E449" s="108" t="s">
        <v>1158</v>
      </c>
      <c r="F449" s="108" t="s">
        <v>1159</v>
      </c>
      <c r="G449" s="108">
        <v>36</v>
      </c>
      <c r="H449" s="158">
        <v>96</v>
      </c>
      <c r="I449" s="140" t="s">
        <v>85</v>
      </c>
      <c r="J449" s="105" t="s">
        <v>23</v>
      </c>
      <c r="K449" s="43" t="s">
        <v>38</v>
      </c>
      <c r="L449" s="107" t="s">
        <v>70</v>
      </c>
      <c r="M449" s="108" t="s">
        <v>48</v>
      </c>
      <c r="N449" s="108">
        <v>49.42</v>
      </c>
      <c r="O449" s="108">
        <v>12.08</v>
      </c>
      <c r="P449" s="112">
        <f t="shared" si="30"/>
        <v>37.340000000000003</v>
      </c>
      <c r="Q449" s="111">
        <v>520</v>
      </c>
      <c r="R449" s="113">
        <f t="shared" si="31"/>
        <v>19416.800000000003</v>
      </c>
      <c r="S449" s="111"/>
      <c r="T449" s="114"/>
      <c r="V449" s="114" t="s">
        <v>217</v>
      </c>
      <c r="W449" s="111">
        <v>150</v>
      </c>
      <c r="X449" s="115">
        <f t="shared" si="32"/>
        <v>5601.0000000000009</v>
      </c>
      <c r="Y449" s="116"/>
      <c r="Z449" s="116">
        <f t="shared" si="33"/>
        <v>0</v>
      </c>
      <c r="AA449" s="114">
        <f t="shared" si="34"/>
        <v>25017.800000000003</v>
      </c>
    </row>
    <row r="450" spans="1:27" s="117" customFormat="1" ht="15.75">
      <c r="A450" s="32">
        <v>447</v>
      </c>
      <c r="B450" s="106">
        <v>45948</v>
      </c>
      <c r="C450" s="106">
        <v>45948</v>
      </c>
      <c r="D450" s="107" t="s">
        <v>1160</v>
      </c>
      <c r="E450" s="108"/>
      <c r="F450" s="108"/>
      <c r="G450" s="108"/>
      <c r="H450" s="139"/>
      <c r="I450" s="12" t="s">
        <v>607</v>
      </c>
      <c r="J450" s="141" t="s">
        <v>23</v>
      </c>
      <c r="K450" s="12" t="s">
        <v>30</v>
      </c>
      <c r="L450" s="108" t="s">
        <v>608</v>
      </c>
      <c r="M450" s="108" t="s">
        <v>31</v>
      </c>
      <c r="N450" s="153">
        <v>9.2200000000000006</v>
      </c>
      <c r="O450" s="108">
        <v>3.36</v>
      </c>
      <c r="P450" s="112">
        <f t="shared" si="30"/>
        <v>5.8600000000000012</v>
      </c>
      <c r="Q450" s="111">
        <v>150</v>
      </c>
      <c r="R450" s="113">
        <f t="shared" si="31"/>
        <v>879.00000000000023</v>
      </c>
      <c r="S450" s="111">
        <v>879</v>
      </c>
      <c r="T450" s="114"/>
      <c r="V450" s="114" t="s">
        <v>24</v>
      </c>
      <c r="W450" s="111"/>
      <c r="X450" s="115">
        <f t="shared" si="32"/>
        <v>0</v>
      </c>
      <c r="Y450" s="116"/>
      <c r="Z450" s="116">
        <f t="shared" si="33"/>
        <v>0</v>
      </c>
      <c r="AA450" s="114">
        <f t="shared" si="34"/>
        <v>879.00000000000023</v>
      </c>
    </row>
    <row r="451" spans="1:27" s="120" customFormat="1" ht="15.75">
      <c r="A451" s="32">
        <v>448</v>
      </c>
      <c r="B451" s="106">
        <v>45948</v>
      </c>
      <c r="C451" s="106">
        <v>45948</v>
      </c>
      <c r="D451" s="107" t="s">
        <v>1161</v>
      </c>
      <c r="E451" s="108"/>
      <c r="F451" s="108"/>
      <c r="G451" s="108"/>
      <c r="H451" s="139"/>
      <c r="I451" s="12" t="s">
        <v>607</v>
      </c>
      <c r="J451" s="141" t="s">
        <v>23</v>
      </c>
      <c r="K451" s="12" t="s">
        <v>30</v>
      </c>
      <c r="L451" s="108" t="s">
        <v>978</v>
      </c>
      <c r="M451" s="108" t="s">
        <v>31</v>
      </c>
      <c r="N451" s="108">
        <v>9.42</v>
      </c>
      <c r="O451" s="108">
        <v>3.44</v>
      </c>
      <c r="P451" s="112">
        <f t="shared" si="30"/>
        <v>5.98</v>
      </c>
      <c r="Q451" s="111">
        <v>150</v>
      </c>
      <c r="R451" s="113">
        <f t="shared" si="31"/>
        <v>897.00000000000011</v>
      </c>
      <c r="S451" s="111">
        <v>897</v>
      </c>
      <c r="T451" s="114"/>
      <c r="V451" s="114" t="s">
        <v>24</v>
      </c>
      <c r="W451" s="111"/>
      <c r="X451" s="115">
        <f t="shared" si="32"/>
        <v>0</v>
      </c>
      <c r="Y451" s="116"/>
      <c r="Z451" s="114">
        <f t="shared" si="33"/>
        <v>0</v>
      </c>
      <c r="AA451" s="114">
        <f t="shared" si="34"/>
        <v>897.00000000000011</v>
      </c>
    </row>
    <row r="452" spans="1:27" s="117" customFormat="1" ht="15.75">
      <c r="A452" s="32">
        <v>449</v>
      </c>
      <c r="B452" s="106">
        <v>45948</v>
      </c>
      <c r="C452" s="106">
        <v>45948</v>
      </c>
      <c r="D452" s="136">
        <v>251018016</v>
      </c>
      <c r="E452" s="108" t="s">
        <v>1162</v>
      </c>
      <c r="F452" s="108" t="s">
        <v>1163</v>
      </c>
      <c r="G452" s="108">
        <v>39</v>
      </c>
      <c r="H452" s="158">
        <v>115</v>
      </c>
      <c r="I452" s="36" t="s">
        <v>46</v>
      </c>
      <c r="J452" s="42" t="s">
        <v>23</v>
      </c>
      <c r="K452" s="43" t="s">
        <v>38</v>
      </c>
      <c r="L452" s="108" t="s">
        <v>101</v>
      </c>
      <c r="M452" s="108" t="s">
        <v>55</v>
      </c>
      <c r="N452" s="153">
        <v>51.44</v>
      </c>
      <c r="O452" s="108">
        <v>11.64</v>
      </c>
      <c r="P452" s="118">
        <f t="shared" ref="P452:P515" si="35">N452-O452</f>
        <v>39.799999999999997</v>
      </c>
      <c r="Q452" s="111">
        <v>445</v>
      </c>
      <c r="R452" s="113">
        <f t="shared" ref="R452:R515" si="36">Q452*P452</f>
        <v>17711</v>
      </c>
      <c r="S452" s="111"/>
      <c r="T452" s="114"/>
      <c r="V452" s="114" t="s">
        <v>24</v>
      </c>
      <c r="W452" s="111">
        <v>145</v>
      </c>
      <c r="X452" s="115">
        <f t="shared" ref="X452:X515" si="37">W452*P452</f>
        <v>5771</v>
      </c>
      <c r="Y452" s="116">
        <v>260</v>
      </c>
      <c r="Z452" s="114">
        <f t="shared" ref="Z452:Z515" si="38">Y452*P452</f>
        <v>10348</v>
      </c>
      <c r="AA452" s="114">
        <f t="shared" ref="AA452:AA515" si="39">R452+X452+Z452</f>
        <v>33830</v>
      </c>
    </row>
    <row r="453" spans="1:27" s="117" customFormat="1" ht="15.75">
      <c r="A453" s="32">
        <v>450</v>
      </c>
      <c r="B453" s="106">
        <v>45948</v>
      </c>
      <c r="C453" s="106">
        <v>45948</v>
      </c>
      <c r="D453" s="107">
        <v>251018017</v>
      </c>
      <c r="E453" s="108" t="s">
        <v>1164</v>
      </c>
      <c r="F453" s="108" t="s">
        <v>1165</v>
      </c>
      <c r="G453" s="108">
        <v>49</v>
      </c>
      <c r="H453" s="158">
        <v>115</v>
      </c>
      <c r="I453" s="36" t="s">
        <v>46</v>
      </c>
      <c r="J453" s="42" t="s">
        <v>23</v>
      </c>
      <c r="K453" s="43" t="s">
        <v>38</v>
      </c>
      <c r="L453" s="107" t="s">
        <v>64</v>
      </c>
      <c r="M453" s="108" t="s">
        <v>48</v>
      </c>
      <c r="N453" s="108">
        <v>65.58</v>
      </c>
      <c r="O453" s="108">
        <v>16.36</v>
      </c>
      <c r="P453" s="112">
        <f t="shared" si="35"/>
        <v>49.22</v>
      </c>
      <c r="Q453" s="111">
        <v>545</v>
      </c>
      <c r="R453" s="113">
        <f t="shared" si="36"/>
        <v>26824.899999999998</v>
      </c>
      <c r="S453" s="111"/>
      <c r="T453" s="114"/>
      <c r="V453" s="114" t="s">
        <v>24</v>
      </c>
      <c r="W453" s="111">
        <v>145</v>
      </c>
      <c r="X453" s="115">
        <f t="shared" si="37"/>
        <v>7136.9</v>
      </c>
      <c r="Y453" s="116">
        <v>260</v>
      </c>
      <c r="Z453" s="114">
        <f t="shared" si="38"/>
        <v>12797.199999999999</v>
      </c>
      <c r="AA453" s="114">
        <f t="shared" si="39"/>
        <v>46758.999999999993</v>
      </c>
    </row>
    <row r="454" spans="1:27" s="120" customFormat="1" ht="15.75">
      <c r="A454" s="32">
        <v>451</v>
      </c>
      <c r="B454" s="106">
        <v>45948</v>
      </c>
      <c r="C454" s="106">
        <v>45948</v>
      </c>
      <c r="D454" s="107">
        <v>251018018</v>
      </c>
      <c r="E454" s="108" t="s">
        <v>1166</v>
      </c>
      <c r="F454" s="108" t="s">
        <v>1167</v>
      </c>
      <c r="G454" s="108">
        <v>45</v>
      </c>
      <c r="H454" s="158">
        <v>115</v>
      </c>
      <c r="I454" s="36" t="s">
        <v>46</v>
      </c>
      <c r="J454" s="42" t="s">
        <v>23</v>
      </c>
      <c r="K454" s="43" t="s">
        <v>38</v>
      </c>
      <c r="L454" s="107" t="s">
        <v>61</v>
      </c>
      <c r="M454" s="108" t="s">
        <v>48</v>
      </c>
      <c r="N454" s="108">
        <v>61.56</v>
      </c>
      <c r="O454" s="108">
        <v>15.96</v>
      </c>
      <c r="P454" s="112">
        <f t="shared" si="35"/>
        <v>45.6</v>
      </c>
      <c r="Q454" s="111">
        <v>545</v>
      </c>
      <c r="R454" s="113">
        <f t="shared" si="36"/>
        <v>24852</v>
      </c>
      <c r="S454" s="111"/>
      <c r="T454" s="114"/>
      <c r="V454" s="114" t="s">
        <v>24</v>
      </c>
      <c r="W454" s="111">
        <v>145</v>
      </c>
      <c r="X454" s="115">
        <f t="shared" si="37"/>
        <v>6612</v>
      </c>
      <c r="Y454" s="116">
        <v>260</v>
      </c>
      <c r="Z454" s="114">
        <f t="shared" si="38"/>
        <v>11856</v>
      </c>
      <c r="AA454" s="114">
        <f t="shared" si="39"/>
        <v>43320</v>
      </c>
    </row>
    <row r="455" spans="1:27" s="117" customFormat="1" ht="15.75">
      <c r="A455" s="32">
        <v>452</v>
      </c>
      <c r="B455" s="106">
        <v>45948</v>
      </c>
      <c r="C455" s="106">
        <v>45948</v>
      </c>
      <c r="D455" s="107">
        <v>251018019</v>
      </c>
      <c r="E455" s="108" t="s">
        <v>1168</v>
      </c>
      <c r="F455" s="108" t="s">
        <v>1169</v>
      </c>
      <c r="G455" s="108">
        <v>41</v>
      </c>
      <c r="H455" s="158">
        <v>115</v>
      </c>
      <c r="I455" s="36" t="s">
        <v>46</v>
      </c>
      <c r="J455" s="42" t="s">
        <v>23</v>
      </c>
      <c r="K455" s="43" t="s">
        <v>38</v>
      </c>
      <c r="L455" s="107" t="s">
        <v>342</v>
      </c>
      <c r="M455" s="108" t="s">
        <v>55</v>
      </c>
      <c r="N455" s="108">
        <v>52.36</v>
      </c>
      <c r="O455" s="108">
        <v>11.34</v>
      </c>
      <c r="P455" s="112">
        <f t="shared" si="35"/>
        <v>41.019999999999996</v>
      </c>
      <c r="Q455" s="111">
        <v>445</v>
      </c>
      <c r="R455" s="113">
        <f t="shared" si="36"/>
        <v>18253.899999999998</v>
      </c>
      <c r="S455" s="111"/>
      <c r="T455" s="114"/>
      <c r="V455" s="114" t="s">
        <v>24</v>
      </c>
      <c r="W455" s="111">
        <v>145</v>
      </c>
      <c r="X455" s="115">
        <f t="shared" si="37"/>
        <v>5947.9</v>
      </c>
      <c r="Y455" s="116">
        <v>260</v>
      </c>
      <c r="Z455" s="114">
        <f t="shared" si="38"/>
        <v>10665.199999999999</v>
      </c>
      <c r="AA455" s="114">
        <f t="shared" si="39"/>
        <v>34866.999999999993</v>
      </c>
    </row>
    <row r="456" spans="1:27" s="117" customFormat="1" ht="15.75">
      <c r="A456" s="32">
        <v>453</v>
      </c>
      <c r="B456" s="106">
        <v>45948</v>
      </c>
      <c r="C456" s="106">
        <v>45948</v>
      </c>
      <c r="D456" s="107">
        <v>251018020</v>
      </c>
      <c r="E456" s="108" t="s">
        <v>1170</v>
      </c>
      <c r="F456" s="108" t="s">
        <v>1171</v>
      </c>
      <c r="G456" s="108">
        <v>45</v>
      </c>
      <c r="H456" s="158">
        <v>115</v>
      </c>
      <c r="I456" s="36" t="s">
        <v>46</v>
      </c>
      <c r="J456" s="42" t="s">
        <v>23</v>
      </c>
      <c r="K456" s="43" t="s">
        <v>38</v>
      </c>
      <c r="L456" s="107" t="s">
        <v>67</v>
      </c>
      <c r="M456" s="108" t="s">
        <v>48</v>
      </c>
      <c r="N456" s="108">
        <v>60.96</v>
      </c>
      <c r="O456" s="108">
        <v>15.74</v>
      </c>
      <c r="P456" s="112">
        <f t="shared" si="35"/>
        <v>45.22</v>
      </c>
      <c r="Q456" s="111">
        <v>545</v>
      </c>
      <c r="R456" s="113">
        <f t="shared" si="36"/>
        <v>24644.899999999998</v>
      </c>
      <c r="S456" s="111"/>
      <c r="T456" s="114"/>
      <c r="V456" s="114" t="s">
        <v>24</v>
      </c>
      <c r="W456" s="111">
        <v>145</v>
      </c>
      <c r="X456" s="115">
        <f t="shared" si="37"/>
        <v>6556.9</v>
      </c>
      <c r="Y456" s="116">
        <v>260</v>
      </c>
      <c r="Z456" s="114">
        <f t="shared" si="38"/>
        <v>11757.199999999999</v>
      </c>
      <c r="AA456" s="114">
        <f t="shared" si="39"/>
        <v>42958.999999999993</v>
      </c>
    </row>
    <row r="457" spans="1:27" s="117" customFormat="1" ht="15.75">
      <c r="A457" s="32">
        <v>454</v>
      </c>
      <c r="B457" s="106">
        <v>45948</v>
      </c>
      <c r="C457" s="106">
        <v>45948</v>
      </c>
      <c r="D457" s="107">
        <v>251018021</v>
      </c>
      <c r="E457" s="108" t="s">
        <v>1172</v>
      </c>
      <c r="F457" s="108" t="s">
        <v>1173</v>
      </c>
      <c r="G457" s="108">
        <v>48</v>
      </c>
      <c r="H457" s="158">
        <v>115</v>
      </c>
      <c r="I457" s="36" t="s">
        <v>46</v>
      </c>
      <c r="J457" s="42" t="s">
        <v>23</v>
      </c>
      <c r="K457" s="43" t="s">
        <v>38</v>
      </c>
      <c r="L457" s="107" t="s">
        <v>51</v>
      </c>
      <c r="M457" s="108" t="s">
        <v>55</v>
      </c>
      <c r="N457" s="153">
        <v>63.7</v>
      </c>
      <c r="O457" s="108">
        <v>15.28</v>
      </c>
      <c r="P457" s="112">
        <f t="shared" si="35"/>
        <v>48.42</v>
      </c>
      <c r="Q457" s="111">
        <v>445</v>
      </c>
      <c r="R457" s="113">
        <f t="shared" si="36"/>
        <v>21546.9</v>
      </c>
      <c r="S457" s="111"/>
      <c r="T457" s="114"/>
      <c r="V457" s="114" t="s">
        <v>24</v>
      </c>
      <c r="W457" s="111">
        <v>145</v>
      </c>
      <c r="X457" s="115">
        <f t="shared" si="37"/>
        <v>7020.9000000000005</v>
      </c>
      <c r="Y457" s="116">
        <v>260</v>
      </c>
      <c r="Z457" s="114">
        <f t="shared" si="38"/>
        <v>12589.2</v>
      </c>
      <c r="AA457" s="114">
        <f t="shared" si="39"/>
        <v>41157</v>
      </c>
    </row>
    <row r="458" spans="1:27" s="117" customFormat="1" ht="15.75">
      <c r="A458" s="32">
        <v>455</v>
      </c>
      <c r="B458" s="106">
        <v>45948</v>
      </c>
      <c r="C458" s="106">
        <v>45948</v>
      </c>
      <c r="D458" s="107">
        <v>251019001</v>
      </c>
      <c r="E458" s="108" t="s">
        <v>1174</v>
      </c>
      <c r="F458" s="108" t="s">
        <v>1175</v>
      </c>
      <c r="G458" s="108">
        <v>51</v>
      </c>
      <c r="H458" s="156">
        <v>18</v>
      </c>
      <c r="I458" s="138" t="s">
        <v>155</v>
      </c>
      <c r="J458" s="35" t="s">
        <v>23</v>
      </c>
      <c r="K458" s="36" t="s">
        <v>38</v>
      </c>
      <c r="L458" s="107" t="s">
        <v>92</v>
      </c>
      <c r="M458" s="108" t="s">
        <v>55</v>
      </c>
      <c r="N458" s="108">
        <v>67.180000000000007</v>
      </c>
      <c r="O458" s="108">
        <v>15.78</v>
      </c>
      <c r="P458" s="112">
        <f t="shared" si="35"/>
        <v>51.400000000000006</v>
      </c>
      <c r="Q458" s="125">
        <v>453.1</v>
      </c>
      <c r="R458" s="113">
        <f t="shared" si="36"/>
        <v>23289.340000000004</v>
      </c>
      <c r="S458" s="111"/>
      <c r="T458" s="114"/>
      <c r="V458" s="114" t="s">
        <v>24</v>
      </c>
      <c r="W458" s="111">
        <v>145</v>
      </c>
      <c r="X458" s="115">
        <f t="shared" si="37"/>
        <v>7453.0000000000009</v>
      </c>
      <c r="Y458" s="116">
        <v>240</v>
      </c>
      <c r="Z458" s="114">
        <f t="shared" si="38"/>
        <v>12336.000000000002</v>
      </c>
      <c r="AA458" s="114">
        <f t="shared" si="39"/>
        <v>43078.340000000004</v>
      </c>
    </row>
    <row r="459" spans="1:27" s="117" customFormat="1" ht="15.75">
      <c r="A459" s="32">
        <v>456</v>
      </c>
      <c r="B459" s="106">
        <v>45948</v>
      </c>
      <c r="C459" s="106">
        <v>45948</v>
      </c>
      <c r="D459" s="107">
        <v>251019002</v>
      </c>
      <c r="E459" s="108" t="s">
        <v>1176</v>
      </c>
      <c r="F459" s="108" t="s">
        <v>1177</v>
      </c>
      <c r="G459" s="108">
        <v>31</v>
      </c>
      <c r="H459" s="158">
        <v>115</v>
      </c>
      <c r="I459" s="36" t="s">
        <v>46</v>
      </c>
      <c r="J459" s="42" t="s">
        <v>23</v>
      </c>
      <c r="K459" s="43" t="s">
        <v>38</v>
      </c>
      <c r="L459" s="107" t="s">
        <v>39</v>
      </c>
      <c r="M459" s="108" t="s">
        <v>40</v>
      </c>
      <c r="N459" s="153">
        <v>42.06</v>
      </c>
      <c r="O459" s="108">
        <v>10.52</v>
      </c>
      <c r="P459" s="108">
        <f t="shared" si="35"/>
        <v>31.540000000000003</v>
      </c>
      <c r="Q459" s="111">
        <v>315</v>
      </c>
      <c r="R459" s="113">
        <f t="shared" si="36"/>
        <v>9935.1</v>
      </c>
      <c r="S459" s="111"/>
      <c r="T459" s="114"/>
      <c r="V459" s="114" t="s">
        <v>24</v>
      </c>
      <c r="W459" s="111">
        <v>145</v>
      </c>
      <c r="X459" s="115">
        <f t="shared" si="37"/>
        <v>4573.3</v>
      </c>
      <c r="Y459" s="116">
        <v>260</v>
      </c>
      <c r="Z459" s="114">
        <f t="shared" si="38"/>
        <v>8200.4000000000015</v>
      </c>
      <c r="AA459" s="114">
        <f t="shared" si="39"/>
        <v>22708.800000000003</v>
      </c>
    </row>
    <row r="460" spans="1:27" s="117" customFormat="1" ht="15.75">
      <c r="A460" s="32">
        <v>457</v>
      </c>
      <c r="B460" s="106">
        <v>45948</v>
      </c>
      <c r="C460" s="106">
        <v>45948</v>
      </c>
      <c r="D460" s="107">
        <v>251019003</v>
      </c>
      <c r="E460" s="108" t="s">
        <v>1178</v>
      </c>
      <c r="F460" s="108" t="s">
        <v>1179</v>
      </c>
      <c r="G460" s="108">
        <v>44</v>
      </c>
      <c r="H460" s="158">
        <v>115</v>
      </c>
      <c r="I460" s="36" t="s">
        <v>46</v>
      </c>
      <c r="J460" s="42" t="s">
        <v>23</v>
      </c>
      <c r="K460" s="43" t="s">
        <v>38</v>
      </c>
      <c r="L460" s="107" t="s">
        <v>623</v>
      </c>
      <c r="M460" s="108" t="s">
        <v>40</v>
      </c>
      <c r="N460" s="153">
        <v>63.12</v>
      </c>
      <c r="O460" s="108">
        <v>18.440000000000001</v>
      </c>
      <c r="P460" s="108">
        <f t="shared" si="35"/>
        <v>44.679999999999993</v>
      </c>
      <c r="Q460" s="111">
        <v>315</v>
      </c>
      <c r="R460" s="113">
        <f t="shared" si="36"/>
        <v>14074.199999999997</v>
      </c>
      <c r="S460" s="111"/>
      <c r="T460" s="114"/>
      <c r="V460" s="114" t="s">
        <v>24</v>
      </c>
      <c r="W460" s="111">
        <v>145</v>
      </c>
      <c r="X460" s="115">
        <f t="shared" si="37"/>
        <v>6478.5999999999985</v>
      </c>
      <c r="Y460" s="116">
        <v>260</v>
      </c>
      <c r="Z460" s="114">
        <f t="shared" si="38"/>
        <v>11616.799999999997</v>
      </c>
      <c r="AA460" s="114">
        <f t="shared" si="39"/>
        <v>32169.599999999991</v>
      </c>
    </row>
    <row r="461" spans="1:27" s="120" customFormat="1" ht="15.75">
      <c r="A461" s="32">
        <v>458</v>
      </c>
      <c r="B461" s="106">
        <v>45948</v>
      </c>
      <c r="C461" s="106">
        <v>45948</v>
      </c>
      <c r="D461" s="107">
        <v>251019004</v>
      </c>
      <c r="E461" s="108" t="s">
        <v>1180</v>
      </c>
      <c r="F461" s="108" t="s">
        <v>1181</v>
      </c>
      <c r="G461" s="108">
        <v>37</v>
      </c>
      <c r="H461" s="156">
        <v>18</v>
      </c>
      <c r="I461" s="138" t="s">
        <v>155</v>
      </c>
      <c r="J461" s="35" t="s">
        <v>23</v>
      </c>
      <c r="K461" s="36" t="s">
        <v>38</v>
      </c>
      <c r="L461" s="107" t="s">
        <v>89</v>
      </c>
      <c r="M461" s="108" t="s">
        <v>55</v>
      </c>
      <c r="N461" s="108">
        <v>49.26</v>
      </c>
      <c r="O461" s="108">
        <v>11.64</v>
      </c>
      <c r="P461" s="108">
        <f t="shared" si="35"/>
        <v>37.619999999999997</v>
      </c>
      <c r="Q461" s="125">
        <v>453.1</v>
      </c>
      <c r="R461" s="113">
        <f t="shared" si="36"/>
        <v>17045.621999999999</v>
      </c>
      <c r="S461" s="111"/>
      <c r="T461" s="114"/>
      <c r="V461" s="114" t="s">
        <v>24</v>
      </c>
      <c r="W461" s="111">
        <v>145</v>
      </c>
      <c r="X461" s="115">
        <f t="shared" si="37"/>
        <v>5454.9</v>
      </c>
      <c r="Y461" s="116">
        <v>240</v>
      </c>
      <c r="Z461" s="114">
        <f t="shared" si="38"/>
        <v>9028.7999999999993</v>
      </c>
      <c r="AA461" s="114">
        <f t="shared" si="39"/>
        <v>31529.321999999996</v>
      </c>
    </row>
    <row r="462" spans="1:27" s="120" customFormat="1" ht="15.75">
      <c r="A462" s="32">
        <v>459</v>
      </c>
      <c r="B462" s="106">
        <v>45948</v>
      </c>
      <c r="C462" s="106">
        <v>45948</v>
      </c>
      <c r="D462" s="107">
        <v>251019005</v>
      </c>
      <c r="E462" s="108" t="s">
        <v>1182</v>
      </c>
      <c r="F462" s="108" t="s">
        <v>1183</v>
      </c>
      <c r="G462" s="108">
        <v>37</v>
      </c>
      <c r="H462" s="158">
        <v>96</v>
      </c>
      <c r="I462" s="140" t="s">
        <v>85</v>
      </c>
      <c r="J462" s="105" t="s">
        <v>23</v>
      </c>
      <c r="K462" s="43" t="s">
        <v>38</v>
      </c>
      <c r="L462" s="107" t="s">
        <v>149</v>
      </c>
      <c r="M462" s="108" t="s">
        <v>48</v>
      </c>
      <c r="N462" s="108">
        <v>49.32</v>
      </c>
      <c r="O462" s="153">
        <v>11.9</v>
      </c>
      <c r="P462" s="112">
        <f t="shared" si="35"/>
        <v>37.42</v>
      </c>
      <c r="Q462" s="111">
        <v>520</v>
      </c>
      <c r="R462" s="113">
        <f t="shared" si="36"/>
        <v>19458.400000000001</v>
      </c>
      <c r="S462" s="111"/>
      <c r="T462" s="114"/>
      <c r="V462" s="114" t="s">
        <v>24</v>
      </c>
      <c r="W462" s="111">
        <v>145</v>
      </c>
      <c r="X462" s="115">
        <f t="shared" si="37"/>
        <v>5425.9000000000005</v>
      </c>
      <c r="Y462" s="116"/>
      <c r="Z462" s="114">
        <f t="shared" si="38"/>
        <v>0</v>
      </c>
      <c r="AA462" s="114">
        <f t="shared" si="39"/>
        <v>24884.300000000003</v>
      </c>
    </row>
    <row r="463" spans="1:27" s="148" customFormat="1" ht="15.75">
      <c r="A463" s="32">
        <v>460</v>
      </c>
      <c r="B463" s="142">
        <v>45949</v>
      </c>
      <c r="C463" s="142">
        <v>45949</v>
      </c>
      <c r="D463" s="143" t="s">
        <v>1184</v>
      </c>
      <c r="E463" s="144"/>
      <c r="F463" s="144"/>
      <c r="G463" s="144"/>
      <c r="H463" s="29"/>
      <c r="I463" s="12" t="s">
        <v>607</v>
      </c>
      <c r="J463" s="141" t="s">
        <v>23</v>
      </c>
      <c r="K463" s="12" t="s">
        <v>30</v>
      </c>
      <c r="L463" s="144" t="s">
        <v>608</v>
      </c>
      <c r="M463" s="144" t="s">
        <v>31</v>
      </c>
      <c r="N463" s="144">
        <v>10.220000000000001</v>
      </c>
      <c r="O463" s="144">
        <v>3.34</v>
      </c>
      <c r="P463" s="151">
        <f t="shared" si="35"/>
        <v>6.8800000000000008</v>
      </c>
      <c r="Q463" s="99">
        <v>150</v>
      </c>
      <c r="R463" s="146">
        <f t="shared" si="36"/>
        <v>1032.0000000000002</v>
      </c>
      <c r="S463" s="99">
        <v>1032</v>
      </c>
      <c r="T463" s="147"/>
      <c r="V463" s="147" t="s">
        <v>24</v>
      </c>
      <c r="W463" s="99"/>
      <c r="X463" s="149">
        <f t="shared" si="37"/>
        <v>0</v>
      </c>
      <c r="Y463" s="150"/>
      <c r="Z463" s="147">
        <f t="shared" si="38"/>
        <v>0</v>
      </c>
      <c r="AA463" s="147">
        <f t="shared" si="39"/>
        <v>1032.0000000000002</v>
      </c>
    </row>
    <row r="464" spans="1:27" s="148" customFormat="1" ht="15.75">
      <c r="A464" s="32">
        <v>461</v>
      </c>
      <c r="B464" s="142">
        <v>45949</v>
      </c>
      <c r="C464" s="142">
        <v>45949</v>
      </c>
      <c r="D464" s="143" t="s">
        <v>1185</v>
      </c>
      <c r="E464" s="144"/>
      <c r="F464" s="144"/>
      <c r="G464" s="144"/>
      <c r="H464" s="29"/>
      <c r="I464" s="12" t="s">
        <v>607</v>
      </c>
      <c r="J464" s="141" t="s">
        <v>23</v>
      </c>
      <c r="K464" s="12" t="s">
        <v>30</v>
      </c>
      <c r="L464" s="144" t="s">
        <v>978</v>
      </c>
      <c r="M464" s="144" t="s">
        <v>31</v>
      </c>
      <c r="N464" s="144">
        <v>10.14</v>
      </c>
      <c r="O464" s="144">
        <v>3.44</v>
      </c>
      <c r="P464" s="151">
        <f t="shared" si="35"/>
        <v>6.7000000000000011</v>
      </c>
      <c r="Q464" s="99">
        <v>150</v>
      </c>
      <c r="R464" s="146">
        <f t="shared" si="36"/>
        <v>1005.0000000000001</v>
      </c>
      <c r="S464" s="99">
        <v>1005</v>
      </c>
      <c r="T464" s="150"/>
      <c r="V464" s="147" t="s">
        <v>24</v>
      </c>
      <c r="W464" s="99"/>
      <c r="X464" s="149">
        <f t="shared" si="37"/>
        <v>0</v>
      </c>
      <c r="Y464" s="150"/>
      <c r="Z464" s="150">
        <f t="shared" si="38"/>
        <v>0</v>
      </c>
      <c r="AA464" s="147">
        <f t="shared" si="39"/>
        <v>1005.0000000000001</v>
      </c>
    </row>
    <row r="465" spans="1:38" s="148" customFormat="1" ht="15.75">
      <c r="A465" s="32">
        <v>462</v>
      </c>
      <c r="B465" s="142">
        <v>45949</v>
      </c>
      <c r="C465" s="142">
        <v>45949</v>
      </c>
      <c r="D465" s="143" t="s">
        <v>1186</v>
      </c>
      <c r="E465" s="144"/>
      <c r="F465" s="144"/>
      <c r="G465" s="144"/>
      <c r="H465" s="29"/>
      <c r="I465" s="12" t="s">
        <v>607</v>
      </c>
      <c r="J465" s="141" t="s">
        <v>23</v>
      </c>
      <c r="K465" s="12" t="s">
        <v>30</v>
      </c>
      <c r="L465" s="144" t="s">
        <v>936</v>
      </c>
      <c r="M465" s="144" t="s">
        <v>31</v>
      </c>
      <c r="N465" s="144">
        <v>9.82</v>
      </c>
      <c r="O465" s="144">
        <v>3.46</v>
      </c>
      <c r="P465" s="151">
        <f t="shared" si="35"/>
        <v>6.36</v>
      </c>
      <c r="Q465" s="99">
        <v>150</v>
      </c>
      <c r="R465" s="146">
        <f t="shared" si="36"/>
        <v>954</v>
      </c>
      <c r="S465" s="99">
        <v>954</v>
      </c>
      <c r="T465" s="147"/>
      <c r="V465" s="147" t="s">
        <v>24</v>
      </c>
      <c r="W465" s="99"/>
      <c r="X465" s="149">
        <f t="shared" si="37"/>
        <v>0</v>
      </c>
      <c r="Y465" s="150"/>
      <c r="Z465" s="150">
        <f t="shared" si="38"/>
        <v>0</v>
      </c>
      <c r="AA465" s="147">
        <f t="shared" si="39"/>
        <v>954</v>
      </c>
    </row>
    <row r="466" spans="1:38" s="148" customFormat="1" ht="15.75">
      <c r="A466" s="32">
        <v>463</v>
      </c>
      <c r="B466" s="142">
        <v>45949</v>
      </c>
      <c r="C466" s="142">
        <v>45949</v>
      </c>
      <c r="D466" s="143" t="s">
        <v>1187</v>
      </c>
      <c r="E466" s="144"/>
      <c r="F466" s="144"/>
      <c r="G466" s="144"/>
      <c r="H466" s="95"/>
      <c r="I466" s="12" t="s">
        <v>1188</v>
      </c>
      <c r="J466" s="141" t="s">
        <v>23</v>
      </c>
      <c r="K466" s="12" t="s">
        <v>30</v>
      </c>
      <c r="L466" s="143" t="s">
        <v>1189</v>
      </c>
      <c r="M466" s="144" t="s">
        <v>31</v>
      </c>
      <c r="N466" s="144">
        <v>8.8000000000000007</v>
      </c>
      <c r="O466" s="144">
        <v>3.4</v>
      </c>
      <c r="P466" s="151">
        <f t="shared" si="35"/>
        <v>5.4</v>
      </c>
      <c r="Q466" s="144">
        <v>150</v>
      </c>
      <c r="R466" s="146">
        <f t="shared" si="36"/>
        <v>810</v>
      </c>
      <c r="S466" s="99">
        <v>810</v>
      </c>
      <c r="T466" s="147">
        <v>10</v>
      </c>
      <c r="V466" s="147" t="s">
        <v>24</v>
      </c>
      <c r="W466" s="99"/>
      <c r="X466" s="149">
        <f t="shared" si="37"/>
        <v>0</v>
      </c>
      <c r="Y466" s="150"/>
      <c r="Z466" s="150">
        <f t="shared" si="38"/>
        <v>0</v>
      </c>
      <c r="AA466" s="147">
        <f t="shared" si="39"/>
        <v>810</v>
      </c>
    </row>
    <row r="467" spans="1:38" s="152" customFormat="1" ht="15.75">
      <c r="A467" s="32">
        <v>464</v>
      </c>
      <c r="B467" s="142">
        <v>45949</v>
      </c>
      <c r="C467" s="142">
        <v>45949</v>
      </c>
      <c r="D467" s="143" t="s">
        <v>1190</v>
      </c>
      <c r="E467" s="144"/>
      <c r="F467" s="144"/>
      <c r="G467" s="144"/>
      <c r="H467" s="95"/>
      <c r="I467" s="12" t="s">
        <v>1191</v>
      </c>
      <c r="J467" s="141" t="s">
        <v>23</v>
      </c>
      <c r="K467" s="160" t="s">
        <v>38</v>
      </c>
      <c r="L467" s="143" t="s">
        <v>1192</v>
      </c>
      <c r="M467" s="144" t="s">
        <v>31</v>
      </c>
      <c r="N467" s="161">
        <v>9.16</v>
      </c>
      <c r="O467" s="144">
        <v>3.36</v>
      </c>
      <c r="P467" s="151">
        <f t="shared" si="35"/>
        <v>5.8000000000000007</v>
      </c>
      <c r="Q467" s="144">
        <v>140</v>
      </c>
      <c r="R467" s="146">
        <f t="shared" si="36"/>
        <v>812.00000000000011</v>
      </c>
      <c r="S467" s="99"/>
      <c r="T467" s="147"/>
      <c r="V467" s="147" t="s">
        <v>24</v>
      </c>
      <c r="W467" s="99"/>
      <c r="X467" s="149">
        <f t="shared" si="37"/>
        <v>0</v>
      </c>
      <c r="Y467" s="150"/>
      <c r="Z467" s="150">
        <f t="shared" si="38"/>
        <v>0</v>
      </c>
      <c r="AA467" s="147">
        <f t="shared" si="39"/>
        <v>812.00000000000011</v>
      </c>
    </row>
    <row r="468" spans="1:38" s="148" customFormat="1" ht="15.75">
      <c r="A468" s="32">
        <v>465</v>
      </c>
      <c r="B468" s="142">
        <v>45949</v>
      </c>
      <c r="C468" s="142">
        <v>45949</v>
      </c>
      <c r="D468" s="143" t="s">
        <v>1193</v>
      </c>
      <c r="E468" s="144"/>
      <c r="F468" s="144"/>
      <c r="G468" s="144"/>
      <c r="H468" s="95"/>
      <c r="I468" s="12" t="s">
        <v>1191</v>
      </c>
      <c r="J468" s="141" t="s">
        <v>23</v>
      </c>
      <c r="K468" s="160" t="s">
        <v>38</v>
      </c>
      <c r="L468" s="143" t="s">
        <v>1194</v>
      </c>
      <c r="M468" s="144" t="s">
        <v>31</v>
      </c>
      <c r="N468" s="144">
        <v>8.56</v>
      </c>
      <c r="O468" s="144">
        <v>3.38</v>
      </c>
      <c r="P468" s="151">
        <f t="shared" si="35"/>
        <v>5.1800000000000006</v>
      </c>
      <c r="Q468" s="144">
        <v>140</v>
      </c>
      <c r="R468" s="146">
        <f t="shared" si="36"/>
        <v>725.2</v>
      </c>
      <c r="S468" s="99"/>
      <c r="T468" s="147"/>
      <c r="V468" s="147" t="s">
        <v>24</v>
      </c>
      <c r="W468" s="99"/>
      <c r="X468" s="149">
        <f t="shared" si="37"/>
        <v>0</v>
      </c>
      <c r="Y468" s="150"/>
      <c r="Z468" s="147">
        <f t="shared" si="38"/>
        <v>0</v>
      </c>
      <c r="AA468" s="147">
        <f t="shared" si="39"/>
        <v>725.2</v>
      </c>
    </row>
    <row r="469" spans="1:38" s="148" customFormat="1" ht="15.75">
      <c r="A469" s="32">
        <v>466</v>
      </c>
      <c r="B469" s="142">
        <v>45949</v>
      </c>
      <c r="C469" s="142">
        <v>45949</v>
      </c>
      <c r="D469" s="143" t="s">
        <v>1195</v>
      </c>
      <c r="E469" s="144"/>
      <c r="F469" s="144"/>
      <c r="G469" s="144"/>
      <c r="H469" s="29"/>
      <c r="I469" s="12" t="s">
        <v>607</v>
      </c>
      <c r="J469" s="141" t="s">
        <v>23</v>
      </c>
      <c r="K469" s="12" t="s">
        <v>30</v>
      </c>
      <c r="L469" s="144" t="s">
        <v>608</v>
      </c>
      <c r="M469" s="144" t="s">
        <v>31</v>
      </c>
      <c r="N469" s="144">
        <v>9.3000000000000007</v>
      </c>
      <c r="O469" s="144">
        <v>3.28</v>
      </c>
      <c r="P469" s="151">
        <f t="shared" si="35"/>
        <v>6.0200000000000014</v>
      </c>
      <c r="Q469" s="144">
        <v>150</v>
      </c>
      <c r="R469" s="146">
        <f t="shared" si="36"/>
        <v>903.00000000000023</v>
      </c>
      <c r="S469" s="99">
        <v>903</v>
      </c>
      <c r="T469" s="147"/>
      <c r="V469" s="147" t="s">
        <v>24</v>
      </c>
      <c r="W469" s="99"/>
      <c r="X469" s="149">
        <f t="shared" si="37"/>
        <v>0</v>
      </c>
      <c r="Y469" s="150"/>
      <c r="Z469" s="147">
        <f t="shared" si="38"/>
        <v>0</v>
      </c>
      <c r="AA469" s="147">
        <f t="shared" si="39"/>
        <v>903.00000000000023</v>
      </c>
    </row>
    <row r="470" spans="1:38" s="148" customFormat="1" ht="15.75">
      <c r="A470" s="32">
        <v>467</v>
      </c>
      <c r="B470" s="142">
        <v>45949</v>
      </c>
      <c r="C470" s="142">
        <v>45949</v>
      </c>
      <c r="D470" s="143" t="s">
        <v>1196</v>
      </c>
      <c r="E470" s="144"/>
      <c r="F470" s="144"/>
      <c r="G470" s="144"/>
      <c r="H470" s="29"/>
      <c r="I470" s="12" t="s">
        <v>607</v>
      </c>
      <c r="J470" s="141" t="s">
        <v>23</v>
      </c>
      <c r="K470" s="12" t="s">
        <v>30</v>
      </c>
      <c r="L470" s="144" t="s">
        <v>978</v>
      </c>
      <c r="M470" s="144" t="s">
        <v>31</v>
      </c>
      <c r="N470" s="161">
        <v>9.56</v>
      </c>
      <c r="O470" s="144">
        <v>3.4</v>
      </c>
      <c r="P470" s="151">
        <f t="shared" si="35"/>
        <v>6.16</v>
      </c>
      <c r="Q470" s="144">
        <v>150</v>
      </c>
      <c r="R470" s="146">
        <f t="shared" si="36"/>
        <v>924</v>
      </c>
      <c r="S470" s="99">
        <v>924</v>
      </c>
      <c r="T470" s="147"/>
      <c r="V470" s="147" t="s">
        <v>24</v>
      </c>
      <c r="W470" s="99"/>
      <c r="X470" s="149">
        <f t="shared" si="37"/>
        <v>0</v>
      </c>
      <c r="Y470" s="150"/>
      <c r="Z470" s="150">
        <f t="shared" si="38"/>
        <v>0</v>
      </c>
      <c r="AA470" s="147">
        <f t="shared" si="39"/>
        <v>924</v>
      </c>
    </row>
    <row r="471" spans="1:38" s="148" customFormat="1" ht="15.75">
      <c r="A471" s="32">
        <v>468</v>
      </c>
      <c r="B471" s="142">
        <v>45949</v>
      </c>
      <c r="C471" s="142">
        <v>45949</v>
      </c>
      <c r="D471" s="143" t="s">
        <v>1197</v>
      </c>
      <c r="E471" s="144"/>
      <c r="F471" s="144"/>
      <c r="G471" s="144"/>
      <c r="H471" s="29"/>
      <c r="I471" s="12" t="s">
        <v>980</v>
      </c>
      <c r="J471" s="141" t="s">
        <v>23</v>
      </c>
      <c r="K471" s="12" t="s">
        <v>30</v>
      </c>
      <c r="L471" s="144" t="s">
        <v>934</v>
      </c>
      <c r="M471" s="144" t="s">
        <v>31</v>
      </c>
      <c r="N471" s="144">
        <v>9.2200000000000006</v>
      </c>
      <c r="O471" s="144">
        <v>3.5</v>
      </c>
      <c r="P471" s="151">
        <f t="shared" si="35"/>
        <v>5.7200000000000006</v>
      </c>
      <c r="Q471" s="144">
        <v>150</v>
      </c>
      <c r="R471" s="146">
        <f t="shared" si="36"/>
        <v>858.00000000000011</v>
      </c>
      <c r="S471" s="99">
        <v>858</v>
      </c>
      <c r="T471" s="147"/>
      <c r="V471" s="147" t="s">
        <v>24</v>
      </c>
      <c r="W471" s="99"/>
      <c r="X471" s="149">
        <f t="shared" si="37"/>
        <v>0</v>
      </c>
      <c r="Y471" s="150"/>
      <c r="Z471" s="150">
        <f t="shared" si="38"/>
        <v>0</v>
      </c>
      <c r="AA471" s="147">
        <f t="shared" si="39"/>
        <v>858.00000000000011</v>
      </c>
    </row>
    <row r="472" spans="1:38" s="148" customFormat="1" ht="17.100000000000001" customHeight="1">
      <c r="A472" s="32">
        <v>469</v>
      </c>
      <c r="B472" s="142">
        <v>45949</v>
      </c>
      <c r="C472" s="142">
        <v>45949</v>
      </c>
      <c r="D472" s="143" t="s">
        <v>1198</v>
      </c>
      <c r="E472" s="144"/>
      <c r="F472" s="144"/>
      <c r="G472" s="144"/>
      <c r="H472" s="29"/>
      <c r="I472" s="12" t="s">
        <v>607</v>
      </c>
      <c r="J472" s="141" t="s">
        <v>23</v>
      </c>
      <c r="K472" s="12" t="s">
        <v>30</v>
      </c>
      <c r="L472" s="144" t="s">
        <v>936</v>
      </c>
      <c r="M472" s="144" t="s">
        <v>31</v>
      </c>
      <c r="N472" s="144">
        <v>9.24</v>
      </c>
      <c r="O472" s="144">
        <v>3.44</v>
      </c>
      <c r="P472" s="151">
        <f t="shared" si="35"/>
        <v>5.8000000000000007</v>
      </c>
      <c r="Q472" s="144">
        <v>150</v>
      </c>
      <c r="R472" s="146">
        <f t="shared" si="36"/>
        <v>870.00000000000011</v>
      </c>
      <c r="S472" s="99">
        <v>870</v>
      </c>
      <c r="T472" s="147"/>
      <c r="V472" s="147" t="s">
        <v>24</v>
      </c>
      <c r="W472" s="99"/>
      <c r="X472" s="149">
        <f t="shared" si="37"/>
        <v>0</v>
      </c>
      <c r="Y472" s="150"/>
      <c r="Z472" s="150">
        <f t="shared" si="38"/>
        <v>0</v>
      </c>
      <c r="AA472" s="147">
        <f t="shared" si="39"/>
        <v>870.00000000000011</v>
      </c>
      <c r="AB472" s="163"/>
      <c r="AC472" s="162"/>
      <c r="AD472" s="164"/>
      <c r="AE472" s="165"/>
      <c r="AF472" s="162"/>
      <c r="AG472" s="165"/>
      <c r="AH472" s="162"/>
      <c r="AI472" s="164"/>
      <c r="AJ472" s="162"/>
      <c r="AK472" s="164"/>
      <c r="AL472" s="164"/>
    </row>
    <row r="473" spans="1:38" s="148" customFormat="1" ht="15.75">
      <c r="A473" s="32">
        <v>470</v>
      </c>
      <c r="B473" s="142">
        <v>45949</v>
      </c>
      <c r="C473" s="142">
        <v>45949</v>
      </c>
      <c r="D473" s="143" t="s">
        <v>1199</v>
      </c>
      <c r="E473" s="144"/>
      <c r="F473" s="144"/>
      <c r="G473" s="144"/>
      <c r="H473" s="29"/>
      <c r="I473" s="12" t="s">
        <v>1191</v>
      </c>
      <c r="J473" s="141" t="s">
        <v>23</v>
      </c>
      <c r="K473" s="12" t="s">
        <v>38</v>
      </c>
      <c r="L473" s="144" t="s">
        <v>1200</v>
      </c>
      <c r="M473" s="144" t="s">
        <v>31</v>
      </c>
      <c r="N473" s="144">
        <v>8.92</v>
      </c>
      <c r="O473" s="144">
        <v>3.44</v>
      </c>
      <c r="P473" s="151">
        <f t="shared" si="35"/>
        <v>5.48</v>
      </c>
      <c r="Q473" s="144">
        <v>140</v>
      </c>
      <c r="R473" s="146">
        <f t="shared" si="36"/>
        <v>767.2</v>
      </c>
      <c r="S473" s="99"/>
      <c r="T473" s="147"/>
      <c r="V473" s="147" t="s">
        <v>24</v>
      </c>
      <c r="W473" s="99"/>
      <c r="X473" s="149">
        <f t="shared" si="37"/>
        <v>0</v>
      </c>
      <c r="Y473" s="150"/>
      <c r="Z473" s="150">
        <f t="shared" si="38"/>
        <v>0</v>
      </c>
      <c r="AA473" s="147">
        <f t="shared" si="39"/>
        <v>767.2</v>
      </c>
    </row>
    <row r="474" spans="1:38" s="148" customFormat="1" ht="15.75">
      <c r="A474" s="32">
        <v>471</v>
      </c>
      <c r="B474" s="142">
        <v>45949</v>
      </c>
      <c r="C474" s="142">
        <v>45949</v>
      </c>
      <c r="D474" s="143" t="s">
        <v>1201</v>
      </c>
      <c r="E474" s="144"/>
      <c r="F474" s="144"/>
      <c r="G474" s="144"/>
      <c r="H474" s="29"/>
      <c r="I474" s="12" t="s">
        <v>1202</v>
      </c>
      <c r="J474" s="141" t="s">
        <v>23</v>
      </c>
      <c r="K474" s="12" t="s">
        <v>30</v>
      </c>
      <c r="L474" s="144" t="s">
        <v>1203</v>
      </c>
      <c r="M474" s="144" t="s">
        <v>31</v>
      </c>
      <c r="N474" s="144">
        <v>7.94</v>
      </c>
      <c r="O474" s="144">
        <v>3.18</v>
      </c>
      <c r="P474" s="151">
        <f t="shared" si="35"/>
        <v>4.76</v>
      </c>
      <c r="Q474" s="144">
        <v>150</v>
      </c>
      <c r="R474" s="146">
        <f t="shared" si="36"/>
        <v>714</v>
      </c>
      <c r="S474" s="99">
        <v>714</v>
      </c>
      <c r="T474" s="147"/>
      <c r="V474" s="147" t="s">
        <v>24</v>
      </c>
      <c r="W474" s="99"/>
      <c r="X474" s="149">
        <f t="shared" si="37"/>
        <v>0</v>
      </c>
      <c r="Y474" s="150"/>
      <c r="Z474" s="150">
        <f t="shared" si="38"/>
        <v>0</v>
      </c>
      <c r="AA474" s="147">
        <f t="shared" si="39"/>
        <v>714</v>
      </c>
    </row>
    <row r="475" spans="1:38" s="148" customFormat="1" ht="15.75">
      <c r="A475" s="32">
        <v>472</v>
      </c>
      <c r="B475" s="142">
        <v>45949</v>
      </c>
      <c r="C475" s="142">
        <v>45949</v>
      </c>
      <c r="D475" s="143" t="s">
        <v>1204</v>
      </c>
      <c r="E475" s="144"/>
      <c r="F475" s="144"/>
      <c r="G475" s="144"/>
      <c r="H475" s="95"/>
      <c r="I475" s="12" t="s">
        <v>1191</v>
      </c>
      <c r="J475" s="141" t="s">
        <v>23</v>
      </c>
      <c r="K475" s="12" t="s">
        <v>38</v>
      </c>
      <c r="L475" s="144" t="s">
        <v>1205</v>
      </c>
      <c r="M475" s="144" t="s">
        <v>31</v>
      </c>
      <c r="N475" s="144">
        <v>8.66</v>
      </c>
      <c r="O475" s="144">
        <v>3.6</v>
      </c>
      <c r="P475" s="151">
        <f t="shared" si="35"/>
        <v>5.0600000000000005</v>
      </c>
      <c r="Q475" s="144">
        <v>140</v>
      </c>
      <c r="R475" s="146">
        <f t="shared" si="36"/>
        <v>708.40000000000009</v>
      </c>
      <c r="S475" s="99"/>
      <c r="T475" s="147"/>
      <c r="V475" s="147" t="s">
        <v>24</v>
      </c>
      <c r="W475" s="99"/>
      <c r="X475" s="149">
        <f t="shared" si="37"/>
        <v>0</v>
      </c>
      <c r="Y475" s="150"/>
      <c r="Z475" s="150">
        <f t="shared" si="38"/>
        <v>0</v>
      </c>
      <c r="AA475" s="147">
        <f t="shared" si="39"/>
        <v>708.40000000000009</v>
      </c>
    </row>
    <row r="476" spans="1:38" s="148" customFormat="1" ht="15.75">
      <c r="A476" s="32">
        <v>473</v>
      </c>
      <c r="B476" s="142">
        <v>45949</v>
      </c>
      <c r="C476" s="142">
        <v>45949</v>
      </c>
      <c r="D476" s="143">
        <v>251019006</v>
      </c>
      <c r="E476" s="144" t="s">
        <v>1206</v>
      </c>
      <c r="F476" s="144" t="s">
        <v>1207</v>
      </c>
      <c r="G476" s="144">
        <v>39</v>
      </c>
      <c r="H476" s="29"/>
      <c r="I476" s="36" t="s">
        <v>760</v>
      </c>
      <c r="J476" s="141" t="s">
        <v>23</v>
      </c>
      <c r="K476" s="12" t="s">
        <v>38</v>
      </c>
      <c r="L476" s="144" t="s">
        <v>509</v>
      </c>
      <c r="M476" s="144" t="s">
        <v>502</v>
      </c>
      <c r="N476" s="161">
        <v>53.32</v>
      </c>
      <c r="O476" s="144">
        <v>13.92</v>
      </c>
      <c r="P476" s="151">
        <f t="shared" si="35"/>
        <v>39.4</v>
      </c>
      <c r="Q476" s="144">
        <v>415</v>
      </c>
      <c r="R476" s="146">
        <f t="shared" si="36"/>
        <v>16351</v>
      </c>
      <c r="S476" s="99"/>
      <c r="T476" s="147"/>
      <c r="V476" s="147" t="s">
        <v>24</v>
      </c>
      <c r="W476" s="99">
        <v>145</v>
      </c>
      <c r="X476" s="149">
        <f t="shared" si="37"/>
        <v>5713</v>
      </c>
      <c r="Y476" s="150">
        <v>230</v>
      </c>
      <c r="Z476" s="150">
        <f t="shared" si="38"/>
        <v>9062</v>
      </c>
      <c r="AA476" s="147">
        <f t="shared" si="39"/>
        <v>31126</v>
      </c>
    </row>
    <row r="477" spans="1:38" s="152" customFormat="1" ht="15.75">
      <c r="A477" s="32">
        <v>474</v>
      </c>
      <c r="B477" s="142">
        <v>45949</v>
      </c>
      <c r="C477" s="142">
        <v>45949</v>
      </c>
      <c r="D477" s="143">
        <v>251019007</v>
      </c>
      <c r="E477" s="144" t="s">
        <v>1208</v>
      </c>
      <c r="F477" s="144" t="s">
        <v>1209</v>
      </c>
      <c r="G477" s="144">
        <v>35</v>
      </c>
      <c r="H477" s="29"/>
      <c r="I477" s="36" t="s">
        <v>760</v>
      </c>
      <c r="J477" s="141" t="s">
        <v>23</v>
      </c>
      <c r="K477" s="12" t="s">
        <v>38</v>
      </c>
      <c r="L477" s="144" t="s">
        <v>149</v>
      </c>
      <c r="M477" s="144" t="s">
        <v>502</v>
      </c>
      <c r="N477" s="144">
        <v>47.54</v>
      </c>
      <c r="O477" s="144">
        <v>12.02</v>
      </c>
      <c r="P477" s="151">
        <f t="shared" si="35"/>
        <v>35.519999999999996</v>
      </c>
      <c r="Q477" s="144">
        <v>415</v>
      </c>
      <c r="R477" s="146">
        <f t="shared" si="36"/>
        <v>14740.799999999997</v>
      </c>
      <c r="S477" s="99"/>
      <c r="T477" s="147"/>
      <c r="V477" s="147" t="s">
        <v>24</v>
      </c>
      <c r="W477" s="99">
        <v>145</v>
      </c>
      <c r="X477" s="149">
        <f t="shared" si="37"/>
        <v>5150.3999999999996</v>
      </c>
      <c r="Y477" s="150">
        <v>230</v>
      </c>
      <c r="Z477" s="147">
        <f t="shared" si="38"/>
        <v>8169.5999999999995</v>
      </c>
      <c r="AA477" s="147">
        <f t="shared" si="39"/>
        <v>28060.799999999996</v>
      </c>
    </row>
    <row r="478" spans="1:38" s="148" customFormat="1" ht="15.75">
      <c r="A478" s="32">
        <v>475</v>
      </c>
      <c r="B478" s="142">
        <v>45949</v>
      </c>
      <c r="C478" s="142">
        <v>45949</v>
      </c>
      <c r="D478" s="143" t="s">
        <v>1210</v>
      </c>
      <c r="E478" s="144"/>
      <c r="F478" s="144"/>
      <c r="G478" s="144"/>
      <c r="H478" s="29"/>
      <c r="I478" s="12" t="s">
        <v>607</v>
      </c>
      <c r="J478" s="141" t="s">
        <v>23</v>
      </c>
      <c r="K478" s="12" t="s">
        <v>30</v>
      </c>
      <c r="L478" s="144" t="s">
        <v>978</v>
      </c>
      <c r="M478" s="144" t="s">
        <v>31</v>
      </c>
      <c r="N478" s="161">
        <v>8.8800000000000008</v>
      </c>
      <c r="O478" s="144">
        <v>3.42</v>
      </c>
      <c r="P478" s="151">
        <f t="shared" si="35"/>
        <v>5.4600000000000009</v>
      </c>
      <c r="Q478" s="144">
        <v>150</v>
      </c>
      <c r="R478" s="146">
        <f t="shared" si="36"/>
        <v>819.00000000000011</v>
      </c>
      <c r="S478" s="99">
        <v>819</v>
      </c>
      <c r="T478" s="147">
        <v>-10</v>
      </c>
      <c r="V478" s="147" t="s">
        <v>24</v>
      </c>
      <c r="W478" s="99"/>
      <c r="X478" s="149">
        <f t="shared" si="37"/>
        <v>0</v>
      </c>
      <c r="Y478" s="150"/>
      <c r="Z478" s="147">
        <f t="shared" si="38"/>
        <v>0</v>
      </c>
      <c r="AA478" s="147">
        <f t="shared" si="39"/>
        <v>819.00000000000011</v>
      </c>
    </row>
    <row r="479" spans="1:38" s="148" customFormat="1" ht="15.75">
      <c r="A479" s="32">
        <v>476</v>
      </c>
      <c r="B479" s="142">
        <v>45949</v>
      </c>
      <c r="C479" s="142">
        <v>45949</v>
      </c>
      <c r="D479" s="143" t="s">
        <v>1211</v>
      </c>
      <c r="E479" s="144"/>
      <c r="F479" s="144"/>
      <c r="G479" s="144"/>
      <c r="H479" s="95"/>
      <c r="I479" s="12" t="s">
        <v>607</v>
      </c>
      <c r="J479" s="141" t="s">
        <v>23</v>
      </c>
      <c r="K479" s="12" t="s">
        <v>30</v>
      </c>
      <c r="L479" s="144" t="s">
        <v>608</v>
      </c>
      <c r="M479" s="144" t="s">
        <v>31</v>
      </c>
      <c r="N479" s="144">
        <v>9.34</v>
      </c>
      <c r="O479" s="144">
        <v>3.36</v>
      </c>
      <c r="P479" s="151">
        <f t="shared" si="35"/>
        <v>5.98</v>
      </c>
      <c r="Q479" s="144">
        <v>150</v>
      </c>
      <c r="R479" s="146">
        <f t="shared" si="36"/>
        <v>897.00000000000011</v>
      </c>
      <c r="S479" s="99">
        <v>897</v>
      </c>
      <c r="T479" s="147"/>
      <c r="V479" s="147" t="s">
        <v>24</v>
      </c>
      <c r="W479" s="99"/>
      <c r="X479" s="149">
        <f t="shared" si="37"/>
        <v>0</v>
      </c>
      <c r="Y479" s="150"/>
      <c r="Z479" s="147">
        <f t="shared" si="38"/>
        <v>0</v>
      </c>
      <c r="AA479" s="147">
        <f t="shared" si="39"/>
        <v>897.00000000000011</v>
      </c>
    </row>
    <row r="480" spans="1:38" s="152" customFormat="1" ht="15.75">
      <c r="A480" s="32">
        <v>477</v>
      </c>
      <c r="B480" s="142">
        <v>45949</v>
      </c>
      <c r="C480" s="142">
        <v>45949</v>
      </c>
      <c r="D480" s="143" t="s">
        <v>1212</v>
      </c>
      <c r="E480" s="144"/>
      <c r="F480" s="144"/>
      <c r="G480" s="144"/>
      <c r="H480" s="95"/>
      <c r="I480" s="12" t="s">
        <v>980</v>
      </c>
      <c r="J480" s="141" t="s">
        <v>23</v>
      </c>
      <c r="K480" s="12" t="s">
        <v>30</v>
      </c>
      <c r="L480" s="144" t="s">
        <v>934</v>
      </c>
      <c r="M480" s="144" t="s">
        <v>31</v>
      </c>
      <c r="N480" s="144">
        <v>9.2799999999999994</v>
      </c>
      <c r="O480" s="144">
        <v>3.52</v>
      </c>
      <c r="P480" s="151">
        <f t="shared" si="35"/>
        <v>5.76</v>
      </c>
      <c r="Q480" s="144">
        <v>150</v>
      </c>
      <c r="R480" s="146">
        <f t="shared" si="36"/>
        <v>864</v>
      </c>
      <c r="S480" s="99">
        <v>864</v>
      </c>
      <c r="T480" s="147"/>
      <c r="V480" s="147" t="s">
        <v>24</v>
      </c>
      <c r="W480" s="99"/>
      <c r="X480" s="149">
        <f t="shared" si="37"/>
        <v>0</v>
      </c>
      <c r="Y480" s="150"/>
      <c r="Z480" s="147">
        <f t="shared" si="38"/>
        <v>0</v>
      </c>
      <c r="AA480" s="147">
        <f t="shared" si="39"/>
        <v>864</v>
      </c>
    </row>
    <row r="481" spans="1:27" s="148" customFormat="1" ht="15.75">
      <c r="A481" s="32">
        <v>478</v>
      </c>
      <c r="B481" s="142">
        <v>45949</v>
      </c>
      <c r="C481" s="142">
        <v>45949</v>
      </c>
      <c r="D481" s="143" t="s">
        <v>1213</v>
      </c>
      <c r="E481" s="144"/>
      <c r="F481" s="144"/>
      <c r="G481" s="144"/>
      <c r="H481" s="95"/>
      <c r="I481" s="12" t="s">
        <v>607</v>
      </c>
      <c r="J481" s="141" t="s">
        <v>23</v>
      </c>
      <c r="K481" s="12" t="s">
        <v>30</v>
      </c>
      <c r="L481" s="144" t="s">
        <v>936</v>
      </c>
      <c r="M481" s="144" t="s">
        <v>31</v>
      </c>
      <c r="N481" s="144">
        <v>9.6999999999999993</v>
      </c>
      <c r="O481" s="144">
        <v>3.48</v>
      </c>
      <c r="P481" s="151">
        <f t="shared" si="35"/>
        <v>6.2199999999999989</v>
      </c>
      <c r="Q481" s="144">
        <v>150</v>
      </c>
      <c r="R481" s="146">
        <f t="shared" si="36"/>
        <v>932.99999999999977</v>
      </c>
      <c r="S481" s="99">
        <v>933</v>
      </c>
      <c r="T481" s="147"/>
      <c r="V481" s="147" t="s">
        <v>24</v>
      </c>
      <c r="W481" s="99"/>
      <c r="X481" s="149">
        <f t="shared" si="37"/>
        <v>0</v>
      </c>
      <c r="Y481" s="150"/>
      <c r="Z481" s="147">
        <f t="shared" si="38"/>
        <v>0</v>
      </c>
      <c r="AA481" s="147">
        <f t="shared" si="39"/>
        <v>932.99999999999977</v>
      </c>
    </row>
    <row r="482" spans="1:27" s="148" customFormat="1" ht="15.75">
      <c r="A482" s="32">
        <v>479</v>
      </c>
      <c r="B482" s="142">
        <v>45949</v>
      </c>
      <c r="C482" s="142">
        <v>45949</v>
      </c>
      <c r="D482" s="143">
        <v>251019008</v>
      </c>
      <c r="E482" s="144"/>
      <c r="F482" s="144"/>
      <c r="G482" s="144"/>
      <c r="H482" s="95"/>
      <c r="I482" s="12" t="s">
        <v>1202</v>
      </c>
      <c r="J482" s="141" t="s">
        <v>23</v>
      </c>
      <c r="K482" s="12" t="s">
        <v>30</v>
      </c>
      <c r="L482" s="144" t="s">
        <v>1203</v>
      </c>
      <c r="M482" s="144" t="s">
        <v>31</v>
      </c>
      <c r="N482" s="144">
        <v>7.72</v>
      </c>
      <c r="O482" s="144">
        <v>3.26</v>
      </c>
      <c r="P482" s="151">
        <f t="shared" si="35"/>
        <v>4.46</v>
      </c>
      <c r="Q482" s="144">
        <v>150</v>
      </c>
      <c r="R482" s="146">
        <f t="shared" si="36"/>
        <v>669</v>
      </c>
      <c r="S482" s="99">
        <v>669</v>
      </c>
      <c r="T482" s="147"/>
      <c r="V482" s="147" t="s">
        <v>24</v>
      </c>
      <c r="W482" s="99"/>
      <c r="X482" s="149">
        <f t="shared" si="37"/>
        <v>0</v>
      </c>
      <c r="Y482" s="150"/>
      <c r="Z482" s="147">
        <f t="shared" si="38"/>
        <v>0</v>
      </c>
      <c r="AA482" s="147">
        <f t="shared" si="39"/>
        <v>669</v>
      </c>
    </row>
    <row r="483" spans="1:27" s="148" customFormat="1" ht="15.75">
      <c r="A483" s="32">
        <v>480</v>
      </c>
      <c r="B483" s="142">
        <v>45949</v>
      </c>
      <c r="C483" s="142">
        <v>45949</v>
      </c>
      <c r="D483" s="143" t="s">
        <v>1214</v>
      </c>
      <c r="E483" s="144"/>
      <c r="F483" s="144"/>
      <c r="G483" s="144"/>
      <c r="H483" s="95"/>
      <c r="I483" s="12" t="s">
        <v>1191</v>
      </c>
      <c r="J483" s="141" t="s">
        <v>23</v>
      </c>
      <c r="K483" s="160" t="s">
        <v>38</v>
      </c>
      <c r="L483" s="143" t="s">
        <v>1194</v>
      </c>
      <c r="M483" s="144" t="s">
        <v>31</v>
      </c>
      <c r="N483" s="161">
        <v>8.34</v>
      </c>
      <c r="O483" s="144">
        <v>3.48</v>
      </c>
      <c r="P483" s="151">
        <f t="shared" si="35"/>
        <v>4.8599999999999994</v>
      </c>
      <c r="Q483" s="144">
        <v>140</v>
      </c>
      <c r="R483" s="146">
        <f t="shared" si="36"/>
        <v>680.39999999999986</v>
      </c>
      <c r="S483" s="99"/>
      <c r="T483" s="147"/>
      <c r="V483" s="147" t="s">
        <v>24</v>
      </c>
      <c r="W483" s="99"/>
      <c r="X483" s="149">
        <f t="shared" si="37"/>
        <v>0</v>
      </c>
      <c r="Y483" s="150"/>
      <c r="Z483" s="147">
        <f t="shared" si="38"/>
        <v>0</v>
      </c>
      <c r="AA483" s="147">
        <f t="shared" si="39"/>
        <v>680.39999999999986</v>
      </c>
    </row>
    <row r="484" spans="1:27" s="148" customFormat="1" ht="15.75">
      <c r="A484" s="32">
        <v>481</v>
      </c>
      <c r="B484" s="142">
        <v>45949</v>
      </c>
      <c r="C484" s="142">
        <v>45949</v>
      </c>
      <c r="D484" s="143" t="s">
        <v>1215</v>
      </c>
      <c r="E484" s="144"/>
      <c r="F484" s="144"/>
      <c r="G484" s="144"/>
      <c r="H484" s="28"/>
      <c r="I484" s="12" t="s">
        <v>1191</v>
      </c>
      <c r="J484" s="141" t="s">
        <v>23</v>
      </c>
      <c r="K484" s="160" t="s">
        <v>38</v>
      </c>
      <c r="L484" s="143" t="s">
        <v>1192</v>
      </c>
      <c r="M484" s="144" t="s">
        <v>31</v>
      </c>
      <c r="N484" s="144">
        <v>8.5399999999999991</v>
      </c>
      <c r="O484" s="144">
        <v>3.44</v>
      </c>
      <c r="P484" s="151">
        <f t="shared" si="35"/>
        <v>5.0999999999999996</v>
      </c>
      <c r="Q484" s="144">
        <v>140</v>
      </c>
      <c r="R484" s="146">
        <f t="shared" si="36"/>
        <v>714</v>
      </c>
      <c r="S484" s="99"/>
      <c r="T484" s="147"/>
      <c r="V484" s="147" t="s">
        <v>24</v>
      </c>
      <c r="W484" s="99"/>
      <c r="X484" s="149">
        <f t="shared" si="37"/>
        <v>0</v>
      </c>
      <c r="Y484" s="150"/>
      <c r="Z484" s="147">
        <f t="shared" si="38"/>
        <v>0</v>
      </c>
      <c r="AA484" s="147">
        <f t="shared" si="39"/>
        <v>714</v>
      </c>
    </row>
    <row r="485" spans="1:27" s="148" customFormat="1" ht="15.75">
      <c r="A485" s="32">
        <v>482</v>
      </c>
      <c r="B485" s="142">
        <v>45949</v>
      </c>
      <c r="C485" s="142">
        <v>45949</v>
      </c>
      <c r="D485" s="143" t="s">
        <v>1216</v>
      </c>
      <c r="E485" s="144"/>
      <c r="F485" s="144"/>
      <c r="G485" s="144"/>
      <c r="H485" s="95"/>
      <c r="I485" s="12" t="s">
        <v>1191</v>
      </c>
      <c r="J485" s="141" t="s">
        <v>23</v>
      </c>
      <c r="K485" s="12" t="s">
        <v>38</v>
      </c>
      <c r="L485" s="144" t="s">
        <v>1205</v>
      </c>
      <c r="M485" s="144" t="s">
        <v>31</v>
      </c>
      <c r="N485" s="161">
        <v>9.7799999999999994</v>
      </c>
      <c r="O485" s="144">
        <v>3.58</v>
      </c>
      <c r="P485" s="151">
        <f t="shared" si="35"/>
        <v>6.1999999999999993</v>
      </c>
      <c r="Q485" s="144">
        <v>140</v>
      </c>
      <c r="R485" s="146">
        <f t="shared" si="36"/>
        <v>867.99999999999989</v>
      </c>
      <c r="S485" s="99"/>
      <c r="T485" s="147"/>
      <c r="V485" s="147" t="s">
        <v>24</v>
      </c>
      <c r="W485" s="99"/>
      <c r="X485" s="149">
        <f t="shared" si="37"/>
        <v>0</v>
      </c>
      <c r="Y485" s="150"/>
      <c r="Z485" s="147">
        <f t="shared" si="38"/>
        <v>0</v>
      </c>
      <c r="AA485" s="147">
        <f t="shared" si="39"/>
        <v>867.99999999999989</v>
      </c>
    </row>
    <row r="486" spans="1:27" s="148" customFormat="1" ht="15.75">
      <c r="A486" s="32">
        <v>483</v>
      </c>
      <c r="B486" s="142">
        <v>45949</v>
      </c>
      <c r="C486" s="142">
        <v>45949</v>
      </c>
      <c r="D486" s="143" t="s">
        <v>1217</v>
      </c>
      <c r="E486" s="144"/>
      <c r="F486" s="144"/>
      <c r="G486" s="144"/>
      <c r="H486" s="95"/>
      <c r="I486" s="12" t="s">
        <v>607</v>
      </c>
      <c r="J486" s="141" t="s">
        <v>23</v>
      </c>
      <c r="K486" s="12" t="s">
        <v>30</v>
      </c>
      <c r="L486" s="144" t="s">
        <v>936</v>
      </c>
      <c r="M486" s="144" t="s">
        <v>31</v>
      </c>
      <c r="N486" s="161">
        <v>8.76</v>
      </c>
      <c r="O486" s="144">
        <v>3.56</v>
      </c>
      <c r="P486" s="151">
        <f t="shared" si="35"/>
        <v>5.1999999999999993</v>
      </c>
      <c r="Q486" s="144">
        <v>150</v>
      </c>
      <c r="R486" s="146">
        <f t="shared" si="36"/>
        <v>779.99999999999989</v>
      </c>
      <c r="S486" s="99">
        <v>780</v>
      </c>
      <c r="T486" s="147"/>
      <c r="V486" s="147" t="s">
        <v>24</v>
      </c>
      <c r="W486" s="99"/>
      <c r="X486" s="149">
        <f t="shared" si="37"/>
        <v>0</v>
      </c>
      <c r="Y486" s="150"/>
      <c r="Z486" s="147">
        <f t="shared" si="38"/>
        <v>0</v>
      </c>
      <c r="AA486" s="147">
        <f t="shared" si="39"/>
        <v>779.99999999999989</v>
      </c>
    </row>
    <row r="487" spans="1:27" s="152" customFormat="1" ht="15.75">
      <c r="A487" s="32">
        <v>484</v>
      </c>
      <c r="B487" s="142">
        <v>45949</v>
      </c>
      <c r="C487" s="142">
        <v>45949</v>
      </c>
      <c r="D487" s="143" t="s">
        <v>1218</v>
      </c>
      <c r="E487" s="144"/>
      <c r="F487" s="144"/>
      <c r="G487" s="144"/>
      <c r="H487" s="28"/>
      <c r="I487" s="12" t="s">
        <v>980</v>
      </c>
      <c r="J487" s="141" t="s">
        <v>23</v>
      </c>
      <c r="K487" s="12" t="s">
        <v>30</v>
      </c>
      <c r="L487" s="144" t="s">
        <v>934</v>
      </c>
      <c r="M487" s="144" t="s">
        <v>31</v>
      </c>
      <c r="N487" s="144">
        <v>8.94</v>
      </c>
      <c r="O487" s="144">
        <v>3.5</v>
      </c>
      <c r="P487" s="151">
        <f t="shared" si="35"/>
        <v>5.4399999999999995</v>
      </c>
      <c r="Q487" s="144">
        <v>150</v>
      </c>
      <c r="R487" s="146">
        <f t="shared" si="36"/>
        <v>815.99999999999989</v>
      </c>
      <c r="S487" s="99">
        <v>816</v>
      </c>
      <c r="T487" s="147"/>
      <c r="V487" s="147" t="s">
        <v>24</v>
      </c>
      <c r="W487" s="99"/>
      <c r="X487" s="149">
        <f t="shared" si="37"/>
        <v>0</v>
      </c>
      <c r="Y487" s="150"/>
      <c r="Z487" s="147">
        <f t="shared" si="38"/>
        <v>0</v>
      </c>
      <c r="AA487" s="147">
        <f t="shared" si="39"/>
        <v>815.99999999999989</v>
      </c>
    </row>
    <row r="488" spans="1:27" s="152" customFormat="1" ht="15.75">
      <c r="A488" s="32">
        <v>485</v>
      </c>
      <c r="B488" s="142">
        <v>45949</v>
      </c>
      <c r="C488" s="142">
        <v>45949</v>
      </c>
      <c r="D488" s="143" t="s">
        <v>1219</v>
      </c>
      <c r="E488" s="144"/>
      <c r="F488" s="144"/>
      <c r="G488" s="144"/>
      <c r="H488" s="95"/>
      <c r="I488" s="12" t="s">
        <v>607</v>
      </c>
      <c r="J488" s="141" t="s">
        <v>23</v>
      </c>
      <c r="K488" s="12" t="s">
        <v>30</v>
      </c>
      <c r="L488" s="144" t="s">
        <v>978</v>
      </c>
      <c r="M488" s="144" t="s">
        <v>31</v>
      </c>
      <c r="N488" s="144">
        <v>8.86</v>
      </c>
      <c r="O488" s="161">
        <v>3.6</v>
      </c>
      <c r="P488" s="151">
        <f t="shared" si="35"/>
        <v>5.26</v>
      </c>
      <c r="Q488" s="144">
        <v>150</v>
      </c>
      <c r="R488" s="146">
        <f t="shared" si="36"/>
        <v>789</v>
      </c>
      <c r="S488" s="99">
        <v>789</v>
      </c>
      <c r="T488" s="147"/>
      <c r="V488" s="147" t="s">
        <v>24</v>
      </c>
      <c r="W488" s="99"/>
      <c r="X488" s="149">
        <f t="shared" si="37"/>
        <v>0</v>
      </c>
      <c r="Y488" s="150"/>
      <c r="Z488" s="147">
        <f t="shared" si="38"/>
        <v>0</v>
      </c>
      <c r="AA488" s="147">
        <f t="shared" si="39"/>
        <v>789</v>
      </c>
    </row>
    <row r="489" spans="1:27" s="152" customFormat="1" ht="15.75">
      <c r="A489" s="32">
        <v>486</v>
      </c>
      <c r="B489" s="142">
        <v>45949</v>
      </c>
      <c r="C489" s="142">
        <v>45949</v>
      </c>
      <c r="D489" s="143" t="s">
        <v>1220</v>
      </c>
      <c r="E489" s="144"/>
      <c r="F489" s="144"/>
      <c r="G489" s="144"/>
      <c r="H489" s="166"/>
      <c r="I489" s="12" t="s">
        <v>607</v>
      </c>
      <c r="J489" s="141" t="s">
        <v>23</v>
      </c>
      <c r="K489" s="12" t="s">
        <v>30</v>
      </c>
      <c r="L489" s="144" t="s">
        <v>608</v>
      </c>
      <c r="M489" s="144" t="s">
        <v>31</v>
      </c>
      <c r="N489" s="144">
        <v>9.1</v>
      </c>
      <c r="O489" s="161">
        <v>3.38</v>
      </c>
      <c r="P489" s="151">
        <f t="shared" si="35"/>
        <v>5.72</v>
      </c>
      <c r="Q489" s="144">
        <v>150</v>
      </c>
      <c r="R489" s="146">
        <f t="shared" si="36"/>
        <v>858</v>
      </c>
      <c r="S489" s="99">
        <v>858</v>
      </c>
      <c r="T489" s="147"/>
      <c r="V489" s="147" t="s">
        <v>24</v>
      </c>
      <c r="W489" s="99"/>
      <c r="X489" s="149">
        <f t="shared" si="37"/>
        <v>0</v>
      </c>
      <c r="Y489" s="150"/>
      <c r="Z489" s="150">
        <f t="shared" si="38"/>
        <v>0</v>
      </c>
      <c r="AA489" s="147">
        <f t="shared" si="39"/>
        <v>858</v>
      </c>
    </row>
    <row r="490" spans="1:27" s="148" customFormat="1" ht="15.75">
      <c r="A490" s="32">
        <v>487</v>
      </c>
      <c r="B490" s="142">
        <v>45949</v>
      </c>
      <c r="C490" s="142">
        <v>45949</v>
      </c>
      <c r="D490" s="167">
        <v>251019009</v>
      </c>
      <c r="E490" s="144" t="s">
        <v>1221</v>
      </c>
      <c r="F490" s="144" t="s">
        <v>1222</v>
      </c>
      <c r="G490" s="144">
        <v>46</v>
      </c>
      <c r="H490" s="41">
        <v>115</v>
      </c>
      <c r="I490" s="36" t="s">
        <v>46</v>
      </c>
      <c r="J490" s="42" t="s">
        <v>23</v>
      </c>
      <c r="K490" s="43" t="s">
        <v>38</v>
      </c>
      <c r="L490" s="143" t="s">
        <v>119</v>
      </c>
      <c r="M490" s="144" t="s">
        <v>48</v>
      </c>
      <c r="N490" s="144">
        <v>65.040000000000006</v>
      </c>
      <c r="O490" s="144">
        <v>18.04</v>
      </c>
      <c r="P490" s="151">
        <f t="shared" si="35"/>
        <v>47.000000000000007</v>
      </c>
      <c r="Q490" s="144">
        <v>545</v>
      </c>
      <c r="R490" s="146">
        <f t="shared" si="36"/>
        <v>25615.000000000004</v>
      </c>
      <c r="S490" s="99"/>
      <c r="T490" s="147"/>
      <c r="V490" s="147" t="s">
        <v>24</v>
      </c>
      <c r="W490" s="99">
        <v>145</v>
      </c>
      <c r="X490" s="149">
        <f t="shared" si="37"/>
        <v>6815.0000000000009</v>
      </c>
      <c r="Y490" s="150">
        <v>260</v>
      </c>
      <c r="Z490" s="147">
        <f t="shared" si="38"/>
        <v>12220.000000000002</v>
      </c>
      <c r="AA490" s="147">
        <f t="shared" si="39"/>
        <v>44650.000000000007</v>
      </c>
    </row>
    <row r="491" spans="1:27" s="148" customFormat="1" ht="15.75">
      <c r="A491" s="32">
        <v>488</v>
      </c>
      <c r="B491" s="142">
        <v>45949</v>
      </c>
      <c r="C491" s="142">
        <v>45949</v>
      </c>
      <c r="D491" s="143">
        <v>251019010</v>
      </c>
      <c r="E491" s="144" t="s">
        <v>1223</v>
      </c>
      <c r="F491" s="144" t="s">
        <v>1224</v>
      </c>
      <c r="G491" s="144">
        <v>45</v>
      </c>
      <c r="H491" s="41">
        <v>115</v>
      </c>
      <c r="I491" s="36" t="s">
        <v>46</v>
      </c>
      <c r="J491" s="42" t="s">
        <v>23</v>
      </c>
      <c r="K491" s="43" t="s">
        <v>38</v>
      </c>
      <c r="L491" s="143" t="s">
        <v>904</v>
      </c>
      <c r="M491" s="144" t="s">
        <v>48</v>
      </c>
      <c r="N491" s="144">
        <v>61.68</v>
      </c>
      <c r="O491" s="144">
        <v>15.38</v>
      </c>
      <c r="P491" s="151">
        <f t="shared" si="35"/>
        <v>46.3</v>
      </c>
      <c r="Q491" s="144">
        <v>545</v>
      </c>
      <c r="R491" s="146">
        <f t="shared" si="36"/>
        <v>25233.5</v>
      </c>
      <c r="S491" s="99"/>
      <c r="T491" s="147"/>
      <c r="V491" s="147" t="s">
        <v>24</v>
      </c>
      <c r="W491" s="99">
        <v>145</v>
      </c>
      <c r="X491" s="149">
        <f t="shared" si="37"/>
        <v>6713.5</v>
      </c>
      <c r="Y491" s="150">
        <v>260</v>
      </c>
      <c r="Z491" s="147">
        <f t="shared" si="38"/>
        <v>12038</v>
      </c>
      <c r="AA491" s="147">
        <f t="shared" si="39"/>
        <v>43985</v>
      </c>
    </row>
    <row r="492" spans="1:27" s="148" customFormat="1" ht="15.75">
      <c r="A492" s="32">
        <v>489</v>
      </c>
      <c r="B492" s="142">
        <v>45949</v>
      </c>
      <c r="C492" s="142">
        <v>45949</v>
      </c>
      <c r="D492" s="143">
        <v>251019011</v>
      </c>
      <c r="E492" s="144" t="s">
        <v>1225</v>
      </c>
      <c r="F492" s="144" t="s">
        <v>1226</v>
      </c>
      <c r="G492" s="144">
        <v>35</v>
      </c>
      <c r="H492" s="41">
        <v>115</v>
      </c>
      <c r="I492" s="36" t="s">
        <v>46</v>
      </c>
      <c r="J492" s="42" t="s">
        <v>23</v>
      </c>
      <c r="K492" s="43" t="s">
        <v>38</v>
      </c>
      <c r="L492" s="143" t="s">
        <v>142</v>
      </c>
      <c r="M492" s="144" t="s">
        <v>55</v>
      </c>
      <c r="N492" s="144">
        <v>49.52</v>
      </c>
      <c r="O492" s="161">
        <v>11.74</v>
      </c>
      <c r="P492" s="151">
        <f t="shared" si="35"/>
        <v>37.78</v>
      </c>
      <c r="Q492" s="144">
        <v>445</v>
      </c>
      <c r="R492" s="146">
        <f t="shared" si="36"/>
        <v>16812.100000000002</v>
      </c>
      <c r="S492" s="99"/>
      <c r="T492" s="147"/>
      <c r="V492" s="147" t="s">
        <v>24</v>
      </c>
      <c r="W492" s="99">
        <v>145</v>
      </c>
      <c r="X492" s="149">
        <f t="shared" si="37"/>
        <v>5478.1</v>
      </c>
      <c r="Y492" s="150">
        <v>260</v>
      </c>
      <c r="Z492" s="147">
        <f t="shared" si="38"/>
        <v>9822.8000000000011</v>
      </c>
      <c r="AA492" s="147">
        <f t="shared" si="39"/>
        <v>32113.000000000007</v>
      </c>
    </row>
    <row r="493" spans="1:27" s="152" customFormat="1" ht="15.75">
      <c r="A493" s="32">
        <v>490</v>
      </c>
      <c r="B493" s="142">
        <v>45949</v>
      </c>
      <c r="C493" s="142">
        <v>45949</v>
      </c>
      <c r="D493" s="143">
        <v>251019012</v>
      </c>
      <c r="E493" s="144" t="s">
        <v>1227</v>
      </c>
      <c r="F493" s="144" t="s">
        <v>1228</v>
      </c>
      <c r="G493" s="144">
        <v>48</v>
      </c>
      <c r="H493" s="41">
        <v>115</v>
      </c>
      <c r="I493" s="36" t="s">
        <v>46</v>
      </c>
      <c r="J493" s="42" t="s">
        <v>23</v>
      </c>
      <c r="K493" s="43" t="s">
        <v>38</v>
      </c>
      <c r="L493" s="143" t="s">
        <v>198</v>
      </c>
      <c r="M493" s="144" t="s">
        <v>55</v>
      </c>
      <c r="N493" s="144">
        <v>65.599999999999994</v>
      </c>
      <c r="O493" s="161">
        <v>15.74</v>
      </c>
      <c r="P493" s="151">
        <f t="shared" si="35"/>
        <v>49.859999999999992</v>
      </c>
      <c r="Q493" s="144">
        <v>445</v>
      </c>
      <c r="R493" s="146">
        <f t="shared" si="36"/>
        <v>22187.699999999997</v>
      </c>
      <c r="S493" s="99"/>
      <c r="T493" s="147"/>
      <c r="V493" s="147" t="s">
        <v>24</v>
      </c>
      <c r="W493" s="99">
        <v>145</v>
      </c>
      <c r="X493" s="149">
        <f t="shared" si="37"/>
        <v>7229.6999999999989</v>
      </c>
      <c r="Y493" s="150">
        <v>260</v>
      </c>
      <c r="Z493" s="147">
        <f t="shared" si="38"/>
        <v>12963.599999999999</v>
      </c>
      <c r="AA493" s="147">
        <f t="shared" si="39"/>
        <v>42380.999999999993</v>
      </c>
    </row>
    <row r="494" spans="1:27" s="148" customFormat="1" ht="15.75">
      <c r="A494" s="32">
        <v>491</v>
      </c>
      <c r="B494" s="142">
        <v>45949</v>
      </c>
      <c r="C494" s="142">
        <v>45950</v>
      </c>
      <c r="D494" s="143" t="s">
        <v>1229</v>
      </c>
      <c r="E494" s="144"/>
      <c r="F494" s="144"/>
      <c r="G494" s="144"/>
      <c r="H494" s="41"/>
      <c r="I494" s="36" t="s">
        <v>1230</v>
      </c>
      <c r="J494" s="42" t="s">
        <v>23</v>
      </c>
      <c r="K494" s="12" t="s">
        <v>30</v>
      </c>
      <c r="L494" s="143" t="s">
        <v>1231</v>
      </c>
      <c r="M494" s="144" t="s">
        <v>502</v>
      </c>
      <c r="N494" s="144">
        <v>18.2</v>
      </c>
      <c r="O494" s="144">
        <v>7.24</v>
      </c>
      <c r="P494" s="151">
        <f t="shared" si="35"/>
        <v>10.959999999999999</v>
      </c>
      <c r="Q494" s="144">
        <v>450</v>
      </c>
      <c r="R494" s="146">
        <f t="shared" si="36"/>
        <v>4932</v>
      </c>
      <c r="S494" s="99">
        <v>4932</v>
      </c>
      <c r="T494" s="147"/>
      <c r="V494" s="147" t="s">
        <v>24</v>
      </c>
      <c r="W494" s="99"/>
      <c r="X494" s="149">
        <f t="shared" si="37"/>
        <v>0</v>
      </c>
      <c r="Y494" s="150"/>
      <c r="Z494" s="150">
        <f t="shared" si="38"/>
        <v>0</v>
      </c>
      <c r="AA494" s="147">
        <f t="shared" si="39"/>
        <v>4932</v>
      </c>
    </row>
    <row r="495" spans="1:27" s="148" customFormat="1" ht="15.75">
      <c r="A495" s="32">
        <v>492</v>
      </c>
      <c r="B495" s="142">
        <v>45949</v>
      </c>
      <c r="C495" s="142">
        <v>45950</v>
      </c>
      <c r="D495" s="143" t="s">
        <v>1232</v>
      </c>
      <c r="E495" s="144"/>
      <c r="F495" s="144"/>
      <c r="G495" s="144"/>
      <c r="H495" s="145"/>
      <c r="I495" s="12" t="s">
        <v>607</v>
      </c>
      <c r="J495" s="141" t="s">
        <v>23</v>
      </c>
      <c r="K495" s="12" t="s">
        <v>30</v>
      </c>
      <c r="L495" s="143" t="s">
        <v>1233</v>
      </c>
      <c r="M495" s="144" t="s">
        <v>31</v>
      </c>
      <c r="N495" s="144">
        <v>9.44</v>
      </c>
      <c r="O495" s="144">
        <v>3.46</v>
      </c>
      <c r="P495" s="151">
        <f t="shared" si="35"/>
        <v>5.9799999999999995</v>
      </c>
      <c r="Q495" s="99">
        <v>150</v>
      </c>
      <c r="R495" s="146">
        <f t="shared" si="36"/>
        <v>896.99999999999989</v>
      </c>
      <c r="S495" s="99">
        <v>900</v>
      </c>
      <c r="T495" s="147"/>
      <c r="V495" s="147" t="s">
        <v>24</v>
      </c>
      <c r="W495" s="99"/>
      <c r="X495" s="149">
        <f t="shared" si="37"/>
        <v>0</v>
      </c>
      <c r="Y495" s="150"/>
      <c r="Z495" s="150">
        <f t="shared" si="38"/>
        <v>0</v>
      </c>
      <c r="AA495" s="147">
        <f t="shared" si="39"/>
        <v>896.99999999999989</v>
      </c>
    </row>
    <row r="496" spans="1:27" s="148" customFormat="1" ht="15.75">
      <c r="A496" s="32">
        <v>493</v>
      </c>
      <c r="B496" s="142">
        <v>45949</v>
      </c>
      <c r="C496" s="142">
        <v>45950</v>
      </c>
      <c r="D496" s="143" t="s">
        <v>1234</v>
      </c>
      <c r="E496" s="144"/>
      <c r="F496" s="144"/>
      <c r="G496" s="144"/>
      <c r="H496" s="166"/>
      <c r="I496" s="12" t="s">
        <v>779</v>
      </c>
      <c r="J496" s="141" t="s">
        <v>23</v>
      </c>
      <c r="K496" s="12" t="s">
        <v>30</v>
      </c>
      <c r="L496" s="143" t="s">
        <v>978</v>
      </c>
      <c r="M496" s="144" t="s">
        <v>31</v>
      </c>
      <c r="N496" s="144">
        <v>8.74</v>
      </c>
      <c r="O496" s="144">
        <v>3.48</v>
      </c>
      <c r="P496" s="151">
        <f t="shared" si="35"/>
        <v>5.26</v>
      </c>
      <c r="Q496" s="99">
        <v>150</v>
      </c>
      <c r="R496" s="146">
        <f t="shared" si="36"/>
        <v>789</v>
      </c>
      <c r="S496" s="99">
        <v>790</v>
      </c>
      <c r="T496" s="147"/>
      <c r="V496" s="147" t="s">
        <v>24</v>
      </c>
      <c r="W496" s="99"/>
      <c r="X496" s="149">
        <f t="shared" si="37"/>
        <v>0</v>
      </c>
      <c r="Y496" s="150"/>
      <c r="Z496" s="150">
        <f t="shared" si="38"/>
        <v>0</v>
      </c>
      <c r="AA496" s="147">
        <f t="shared" si="39"/>
        <v>789</v>
      </c>
    </row>
    <row r="497" spans="1:38" s="148" customFormat="1" ht="15.75">
      <c r="A497" s="32">
        <v>494</v>
      </c>
      <c r="B497" s="142">
        <v>45950</v>
      </c>
      <c r="C497" s="142">
        <v>45950</v>
      </c>
      <c r="D497" s="143" t="s">
        <v>1235</v>
      </c>
      <c r="E497" s="144"/>
      <c r="F497" s="144"/>
      <c r="G497" s="144"/>
      <c r="H497" s="29"/>
      <c r="I497" s="12" t="s">
        <v>607</v>
      </c>
      <c r="J497" s="141" t="s">
        <v>23</v>
      </c>
      <c r="K497" s="12" t="s">
        <v>30</v>
      </c>
      <c r="L497" s="144" t="s">
        <v>608</v>
      </c>
      <c r="M497" s="144" t="s">
        <v>31</v>
      </c>
      <c r="N497" s="144">
        <v>8.48</v>
      </c>
      <c r="O497" s="144">
        <v>3.38</v>
      </c>
      <c r="P497" s="151">
        <f t="shared" si="35"/>
        <v>5.1000000000000005</v>
      </c>
      <c r="Q497" s="99">
        <v>150</v>
      </c>
      <c r="R497" s="146">
        <f t="shared" si="36"/>
        <v>765.00000000000011</v>
      </c>
      <c r="S497" s="99">
        <v>765</v>
      </c>
      <c r="T497" s="147"/>
      <c r="V497" s="147" t="s">
        <v>24</v>
      </c>
      <c r="W497" s="99"/>
      <c r="X497" s="149">
        <f t="shared" si="37"/>
        <v>0</v>
      </c>
      <c r="Y497" s="150"/>
      <c r="Z497" s="147">
        <f t="shared" si="38"/>
        <v>0</v>
      </c>
      <c r="AA497" s="147">
        <f t="shared" si="39"/>
        <v>765.00000000000011</v>
      </c>
    </row>
    <row r="498" spans="1:38" s="148" customFormat="1" ht="15.75">
      <c r="A498" s="32">
        <v>495</v>
      </c>
      <c r="B498" s="142">
        <v>45950</v>
      </c>
      <c r="C498" s="142">
        <v>45950</v>
      </c>
      <c r="D498" s="143" t="s">
        <v>1236</v>
      </c>
      <c r="E498" s="144"/>
      <c r="F498" s="144"/>
      <c r="G498" s="144"/>
      <c r="H498" s="29"/>
      <c r="I498" s="12" t="s">
        <v>980</v>
      </c>
      <c r="J498" s="141" t="s">
        <v>23</v>
      </c>
      <c r="K498" s="12" t="s">
        <v>30</v>
      </c>
      <c r="L498" s="144" t="s">
        <v>934</v>
      </c>
      <c r="M498" s="144" t="s">
        <v>31</v>
      </c>
      <c r="N498" s="144">
        <v>9.42</v>
      </c>
      <c r="O498" s="144">
        <v>3.54</v>
      </c>
      <c r="P498" s="151">
        <f t="shared" si="35"/>
        <v>5.88</v>
      </c>
      <c r="Q498" s="99">
        <v>150</v>
      </c>
      <c r="R498" s="146">
        <f t="shared" si="36"/>
        <v>882</v>
      </c>
      <c r="S498" s="99">
        <v>882</v>
      </c>
      <c r="T498" s="150"/>
      <c r="V498" s="147" t="s">
        <v>24</v>
      </c>
      <c r="W498" s="99"/>
      <c r="X498" s="149">
        <f t="shared" si="37"/>
        <v>0</v>
      </c>
      <c r="Y498" s="150"/>
      <c r="Z498" s="150">
        <f t="shared" si="38"/>
        <v>0</v>
      </c>
      <c r="AA498" s="147">
        <f t="shared" si="39"/>
        <v>882</v>
      </c>
    </row>
    <row r="499" spans="1:38" s="148" customFormat="1" ht="15.75">
      <c r="A499" s="32">
        <v>496</v>
      </c>
      <c r="B499" s="142">
        <v>45950</v>
      </c>
      <c r="C499" s="142">
        <v>45950</v>
      </c>
      <c r="D499" s="143" t="s">
        <v>1237</v>
      </c>
      <c r="E499" s="144"/>
      <c r="F499" s="144"/>
      <c r="G499" s="144"/>
      <c r="H499" s="29"/>
      <c r="I499" s="12" t="s">
        <v>607</v>
      </c>
      <c r="J499" s="141" t="s">
        <v>23</v>
      </c>
      <c r="K499" s="12" t="s">
        <v>30</v>
      </c>
      <c r="L499" s="144" t="s">
        <v>978</v>
      </c>
      <c r="M499" s="144" t="s">
        <v>31</v>
      </c>
      <c r="N499" s="144">
        <v>9.18</v>
      </c>
      <c r="O499" s="144">
        <v>3.42</v>
      </c>
      <c r="P499" s="151">
        <f t="shared" si="35"/>
        <v>5.76</v>
      </c>
      <c r="Q499" s="99">
        <v>150</v>
      </c>
      <c r="R499" s="146">
        <f t="shared" si="36"/>
        <v>864</v>
      </c>
      <c r="S499" s="99">
        <v>864</v>
      </c>
      <c r="T499" s="147"/>
      <c r="V499" s="147" t="s">
        <v>24</v>
      </c>
      <c r="W499" s="99"/>
      <c r="X499" s="149">
        <f t="shared" si="37"/>
        <v>0</v>
      </c>
      <c r="Y499" s="150"/>
      <c r="Z499" s="150">
        <f t="shared" si="38"/>
        <v>0</v>
      </c>
      <c r="AA499" s="147">
        <f t="shared" si="39"/>
        <v>864</v>
      </c>
    </row>
    <row r="500" spans="1:38" s="152" customFormat="1" ht="15.75">
      <c r="A500" s="32">
        <v>497</v>
      </c>
      <c r="B500" s="142">
        <v>45950</v>
      </c>
      <c r="C500" s="142">
        <v>45950</v>
      </c>
      <c r="D500" s="143" t="s">
        <v>1238</v>
      </c>
      <c r="E500" s="144"/>
      <c r="F500" s="144"/>
      <c r="G500" s="144"/>
      <c r="H500" s="29"/>
      <c r="I500" s="12" t="s">
        <v>607</v>
      </c>
      <c r="J500" s="141" t="s">
        <v>23</v>
      </c>
      <c r="K500" s="12" t="s">
        <v>30</v>
      </c>
      <c r="L500" s="144" t="s">
        <v>608</v>
      </c>
      <c r="M500" s="144" t="s">
        <v>31</v>
      </c>
      <c r="N500" s="161">
        <v>8.4</v>
      </c>
      <c r="O500" s="144">
        <v>3.3</v>
      </c>
      <c r="P500" s="151">
        <f t="shared" si="35"/>
        <v>5.1000000000000005</v>
      </c>
      <c r="Q500" s="144">
        <v>150</v>
      </c>
      <c r="R500" s="146">
        <f t="shared" si="36"/>
        <v>765.00000000000011</v>
      </c>
      <c r="S500" s="99">
        <v>765</v>
      </c>
      <c r="T500" s="147"/>
      <c r="V500" s="147" t="s">
        <v>24</v>
      </c>
      <c r="W500" s="99"/>
      <c r="X500" s="149">
        <f t="shared" si="37"/>
        <v>0</v>
      </c>
      <c r="Y500" s="150"/>
      <c r="Z500" s="150">
        <f t="shared" si="38"/>
        <v>0</v>
      </c>
      <c r="AA500" s="147">
        <f t="shared" si="39"/>
        <v>765.00000000000011</v>
      </c>
    </row>
    <row r="501" spans="1:38" s="148" customFormat="1" ht="15.75">
      <c r="A501" s="32">
        <v>498</v>
      </c>
      <c r="B501" s="142">
        <v>45950</v>
      </c>
      <c r="C501" s="142">
        <v>45950</v>
      </c>
      <c r="D501" s="143" t="s">
        <v>1239</v>
      </c>
      <c r="E501" s="144"/>
      <c r="F501" s="144"/>
      <c r="G501" s="144"/>
      <c r="H501" s="95"/>
      <c r="I501" s="12" t="s">
        <v>607</v>
      </c>
      <c r="J501" s="141" t="s">
        <v>23</v>
      </c>
      <c r="K501" s="12" t="s">
        <v>30</v>
      </c>
      <c r="L501" s="144" t="s">
        <v>978</v>
      </c>
      <c r="M501" s="144" t="s">
        <v>31</v>
      </c>
      <c r="N501" s="144">
        <v>9.68</v>
      </c>
      <c r="O501" s="144">
        <v>3.32</v>
      </c>
      <c r="P501" s="151">
        <f t="shared" si="35"/>
        <v>6.3599999999999994</v>
      </c>
      <c r="Q501" s="144">
        <v>150</v>
      </c>
      <c r="R501" s="146">
        <f t="shared" si="36"/>
        <v>953.99999999999989</v>
      </c>
      <c r="S501" s="99">
        <v>954</v>
      </c>
      <c r="T501" s="147"/>
      <c r="V501" s="147" t="s">
        <v>24</v>
      </c>
      <c r="W501" s="99"/>
      <c r="X501" s="149">
        <f t="shared" si="37"/>
        <v>0</v>
      </c>
      <c r="Y501" s="150"/>
      <c r="Z501" s="147">
        <f t="shared" si="38"/>
        <v>0</v>
      </c>
      <c r="AA501" s="147">
        <f t="shared" si="39"/>
        <v>953.99999999999989</v>
      </c>
    </row>
    <row r="502" spans="1:38" s="148" customFormat="1" ht="15.75">
      <c r="A502" s="32">
        <v>499</v>
      </c>
      <c r="B502" s="142">
        <v>45950</v>
      </c>
      <c r="C502" s="142">
        <v>45950</v>
      </c>
      <c r="D502" s="143" t="s">
        <v>1240</v>
      </c>
      <c r="E502" s="144"/>
      <c r="F502" s="144"/>
      <c r="G502" s="144"/>
      <c r="H502" s="29"/>
      <c r="I502" s="12" t="s">
        <v>980</v>
      </c>
      <c r="J502" s="141" t="s">
        <v>23</v>
      </c>
      <c r="K502" s="12" t="s">
        <v>30</v>
      </c>
      <c r="L502" s="144" t="s">
        <v>934</v>
      </c>
      <c r="M502" s="144" t="s">
        <v>31</v>
      </c>
      <c r="N502" s="144">
        <v>9.3800000000000008</v>
      </c>
      <c r="O502" s="144">
        <v>3.5</v>
      </c>
      <c r="P502" s="151">
        <f t="shared" si="35"/>
        <v>5.8800000000000008</v>
      </c>
      <c r="Q502" s="144">
        <v>150</v>
      </c>
      <c r="R502" s="146">
        <f t="shared" si="36"/>
        <v>882.00000000000011</v>
      </c>
      <c r="S502" s="99">
        <v>882</v>
      </c>
      <c r="T502" s="147"/>
      <c r="V502" s="147" t="s">
        <v>24</v>
      </c>
      <c r="W502" s="99"/>
      <c r="X502" s="149">
        <f t="shared" si="37"/>
        <v>0</v>
      </c>
      <c r="Y502" s="150"/>
      <c r="Z502" s="147">
        <f t="shared" si="38"/>
        <v>0</v>
      </c>
      <c r="AA502" s="147">
        <f t="shared" si="39"/>
        <v>882.00000000000011</v>
      </c>
    </row>
    <row r="503" spans="1:38" s="148" customFormat="1" ht="15.75">
      <c r="A503" s="32">
        <v>500</v>
      </c>
      <c r="B503" s="142">
        <v>45950</v>
      </c>
      <c r="C503" s="142">
        <v>45950</v>
      </c>
      <c r="D503" s="143" t="s">
        <v>1241</v>
      </c>
      <c r="E503" s="144"/>
      <c r="F503" s="144"/>
      <c r="G503" s="144"/>
      <c r="H503" s="29"/>
      <c r="I503" s="12" t="s">
        <v>980</v>
      </c>
      <c r="J503" s="141" t="s">
        <v>23</v>
      </c>
      <c r="K503" s="12" t="s">
        <v>30</v>
      </c>
      <c r="L503" s="144" t="s">
        <v>934</v>
      </c>
      <c r="M503" s="144" t="s">
        <v>31</v>
      </c>
      <c r="N503" s="161">
        <v>9.86</v>
      </c>
      <c r="O503" s="144">
        <v>3.66</v>
      </c>
      <c r="P503" s="151">
        <f t="shared" si="35"/>
        <v>6.1999999999999993</v>
      </c>
      <c r="Q503" s="144">
        <v>150</v>
      </c>
      <c r="R503" s="146">
        <f t="shared" si="36"/>
        <v>929.99999999999989</v>
      </c>
      <c r="S503" s="99">
        <v>930</v>
      </c>
      <c r="T503" s="147"/>
      <c r="V503" s="147" t="s">
        <v>24</v>
      </c>
      <c r="W503" s="99"/>
      <c r="X503" s="150">
        <f t="shared" si="37"/>
        <v>0</v>
      </c>
      <c r="Y503" s="150"/>
      <c r="Z503" s="150">
        <f t="shared" si="38"/>
        <v>0</v>
      </c>
      <c r="AA503" s="147">
        <f t="shared" si="39"/>
        <v>929.99999999999989</v>
      </c>
    </row>
    <row r="504" spans="1:38" s="179" customFormat="1" ht="15.75">
      <c r="A504" s="32">
        <v>501</v>
      </c>
      <c r="B504" s="168">
        <v>45951</v>
      </c>
      <c r="C504" s="168">
        <v>45951</v>
      </c>
      <c r="D504" s="169" t="s">
        <v>1242</v>
      </c>
      <c r="E504" s="170"/>
      <c r="F504" s="170"/>
      <c r="G504" s="170"/>
      <c r="H504" s="171"/>
      <c r="I504" s="171" t="s">
        <v>1243</v>
      </c>
      <c r="J504" s="172" t="s">
        <v>23</v>
      </c>
      <c r="K504" s="171" t="s">
        <v>30</v>
      </c>
      <c r="L504" s="170" t="s">
        <v>1244</v>
      </c>
      <c r="M504" s="170" t="s">
        <v>31</v>
      </c>
      <c r="N504" s="170">
        <v>8.5399999999999991</v>
      </c>
      <c r="O504" s="170">
        <v>3.38</v>
      </c>
      <c r="P504" s="173">
        <f t="shared" si="35"/>
        <v>5.1599999999999993</v>
      </c>
      <c r="Q504" s="174">
        <v>150</v>
      </c>
      <c r="R504" s="175">
        <f t="shared" si="36"/>
        <v>773.99999999999989</v>
      </c>
      <c r="S504" s="174"/>
      <c r="T504" s="176">
        <v>4226</v>
      </c>
      <c r="V504" s="176" t="s">
        <v>1245</v>
      </c>
      <c r="W504" s="174"/>
      <c r="X504" s="177">
        <f t="shared" si="37"/>
        <v>0</v>
      </c>
      <c r="Y504" s="178"/>
      <c r="Z504" s="176">
        <f t="shared" si="38"/>
        <v>0</v>
      </c>
      <c r="AA504" s="176">
        <f t="shared" si="39"/>
        <v>773.99999999999989</v>
      </c>
    </row>
    <row r="505" spans="1:38" s="179" customFormat="1" ht="15.75">
      <c r="A505" s="32">
        <v>502</v>
      </c>
      <c r="B505" s="168">
        <v>45951</v>
      </c>
      <c r="C505" s="168">
        <v>45951</v>
      </c>
      <c r="D505" s="169" t="s">
        <v>1246</v>
      </c>
      <c r="E505" s="170"/>
      <c r="F505" s="170"/>
      <c r="G505" s="170"/>
      <c r="H505" s="171"/>
      <c r="I505" s="171" t="s">
        <v>1243</v>
      </c>
      <c r="J505" s="172" t="s">
        <v>23</v>
      </c>
      <c r="K505" s="171" t="s">
        <v>30</v>
      </c>
      <c r="L505" s="170" t="s">
        <v>1247</v>
      </c>
      <c r="M505" s="170" t="s">
        <v>31</v>
      </c>
      <c r="N505" s="170">
        <v>8.5399999999999991</v>
      </c>
      <c r="O505" s="170">
        <v>3.34</v>
      </c>
      <c r="P505" s="173">
        <f t="shared" si="35"/>
        <v>5.1999999999999993</v>
      </c>
      <c r="Q505" s="174">
        <v>150</v>
      </c>
      <c r="R505" s="175">
        <f t="shared" si="36"/>
        <v>779.99999999999989</v>
      </c>
      <c r="S505" s="174"/>
      <c r="T505" s="178">
        <v>3446</v>
      </c>
      <c r="V505" s="176" t="s">
        <v>24</v>
      </c>
      <c r="W505" s="174"/>
      <c r="X505" s="177">
        <f t="shared" si="37"/>
        <v>0</v>
      </c>
      <c r="Y505" s="178"/>
      <c r="Z505" s="178">
        <f t="shared" si="38"/>
        <v>0</v>
      </c>
      <c r="AA505" s="176">
        <f t="shared" si="39"/>
        <v>779.99999999999989</v>
      </c>
    </row>
    <row r="506" spans="1:38" s="179" customFormat="1" ht="15.75">
      <c r="A506" s="32">
        <v>503</v>
      </c>
      <c r="B506" s="168">
        <v>45951</v>
      </c>
      <c r="C506" s="168">
        <v>45951</v>
      </c>
      <c r="D506" s="169" t="s">
        <v>1248</v>
      </c>
      <c r="E506" s="170"/>
      <c r="F506" s="170"/>
      <c r="G506" s="170"/>
      <c r="H506" s="171"/>
      <c r="I506" s="171" t="s">
        <v>1243</v>
      </c>
      <c r="J506" s="172" t="s">
        <v>23</v>
      </c>
      <c r="K506" s="171" t="s">
        <v>30</v>
      </c>
      <c r="L506" s="170" t="s">
        <v>299</v>
      </c>
      <c r="M506" s="170" t="s">
        <v>31</v>
      </c>
      <c r="N506" s="170">
        <v>9.16</v>
      </c>
      <c r="O506" s="170">
        <v>3.5</v>
      </c>
      <c r="P506" s="173">
        <f t="shared" si="35"/>
        <v>5.66</v>
      </c>
      <c r="Q506" s="174">
        <v>150</v>
      </c>
      <c r="R506" s="175">
        <f t="shared" si="36"/>
        <v>849</v>
      </c>
      <c r="S506" s="174"/>
      <c r="T506" s="176">
        <v>2597</v>
      </c>
      <c r="V506" s="176" t="s">
        <v>24</v>
      </c>
      <c r="W506" s="174"/>
      <c r="X506" s="177">
        <f t="shared" si="37"/>
        <v>0</v>
      </c>
      <c r="Y506" s="178"/>
      <c r="Z506" s="178">
        <f t="shared" si="38"/>
        <v>0</v>
      </c>
      <c r="AA506" s="176">
        <f t="shared" si="39"/>
        <v>849</v>
      </c>
    </row>
    <row r="507" spans="1:38" s="179" customFormat="1" ht="15.75">
      <c r="A507" s="32">
        <v>504</v>
      </c>
      <c r="B507" s="168">
        <v>45951</v>
      </c>
      <c r="C507" s="168">
        <v>45951</v>
      </c>
      <c r="D507" s="169" t="s">
        <v>1249</v>
      </c>
      <c r="E507" s="170"/>
      <c r="F507" s="170"/>
      <c r="G507" s="170"/>
      <c r="H507" s="180"/>
      <c r="I507" s="171" t="s">
        <v>1250</v>
      </c>
      <c r="J507" s="172" t="s">
        <v>23</v>
      </c>
      <c r="K507" s="171" t="s">
        <v>38</v>
      </c>
      <c r="L507" s="169" t="s">
        <v>1251</v>
      </c>
      <c r="M507" s="170" t="s">
        <v>48</v>
      </c>
      <c r="N507" s="170">
        <v>9.36</v>
      </c>
      <c r="O507" s="170">
        <v>3.58</v>
      </c>
      <c r="P507" s="173">
        <f t="shared" si="35"/>
        <v>5.7799999999999994</v>
      </c>
      <c r="Q507" s="170">
        <v>550</v>
      </c>
      <c r="R507" s="175">
        <f t="shared" si="36"/>
        <v>3178.9999999999995</v>
      </c>
      <c r="S507" s="174"/>
      <c r="T507" s="176"/>
      <c r="V507" s="176" t="s">
        <v>217</v>
      </c>
      <c r="W507" s="174"/>
      <c r="X507" s="177">
        <f t="shared" si="37"/>
        <v>0</v>
      </c>
      <c r="Y507" s="178"/>
      <c r="Z507" s="178">
        <f t="shared" si="38"/>
        <v>0</v>
      </c>
      <c r="AA507" s="176">
        <f t="shared" si="39"/>
        <v>3178.9999999999995</v>
      </c>
    </row>
    <row r="508" spans="1:38" s="179" customFormat="1" ht="15.75">
      <c r="A508" s="32">
        <v>505</v>
      </c>
      <c r="B508" s="168">
        <v>45951</v>
      </c>
      <c r="C508" s="168">
        <v>45951</v>
      </c>
      <c r="D508" s="169">
        <v>251021002</v>
      </c>
      <c r="E508" s="170" t="s">
        <v>1252</v>
      </c>
      <c r="F508" s="170" t="s">
        <v>1253</v>
      </c>
      <c r="G508" s="170">
        <v>44</v>
      </c>
      <c r="H508" s="183">
        <v>115</v>
      </c>
      <c r="I508" s="184" t="s">
        <v>46</v>
      </c>
      <c r="J508" s="185" t="s">
        <v>23</v>
      </c>
      <c r="K508" s="186" t="s">
        <v>38</v>
      </c>
      <c r="L508" s="170" t="s">
        <v>47</v>
      </c>
      <c r="M508" s="170" t="s">
        <v>48</v>
      </c>
      <c r="N508" s="181">
        <v>60.72</v>
      </c>
      <c r="O508" s="170">
        <v>15.74</v>
      </c>
      <c r="P508" s="173">
        <f t="shared" si="35"/>
        <v>44.98</v>
      </c>
      <c r="Q508" s="170">
        <v>545</v>
      </c>
      <c r="R508" s="175">
        <f t="shared" si="36"/>
        <v>24514.1</v>
      </c>
      <c r="S508" s="174"/>
      <c r="T508" s="176"/>
      <c r="V508" s="176" t="s">
        <v>24</v>
      </c>
      <c r="W508" s="174">
        <v>145</v>
      </c>
      <c r="X508" s="177">
        <f t="shared" si="37"/>
        <v>6522.0999999999995</v>
      </c>
      <c r="Y508" s="178">
        <v>260</v>
      </c>
      <c r="Z508" s="178">
        <f t="shared" si="38"/>
        <v>11694.8</v>
      </c>
      <c r="AA508" s="176">
        <f t="shared" si="39"/>
        <v>42731</v>
      </c>
    </row>
    <row r="509" spans="1:38" s="179" customFormat="1" ht="15.75">
      <c r="A509" s="32">
        <v>506</v>
      </c>
      <c r="B509" s="168">
        <v>45951</v>
      </c>
      <c r="C509" s="168">
        <v>45951</v>
      </c>
      <c r="D509" s="169">
        <v>251021004</v>
      </c>
      <c r="E509" s="170" t="s">
        <v>1254</v>
      </c>
      <c r="F509" s="170" t="s">
        <v>1255</v>
      </c>
      <c r="G509" s="170">
        <v>42</v>
      </c>
      <c r="H509" s="183">
        <v>115</v>
      </c>
      <c r="I509" s="184" t="s">
        <v>46</v>
      </c>
      <c r="J509" s="185" t="s">
        <v>23</v>
      </c>
      <c r="K509" s="186" t="s">
        <v>38</v>
      </c>
      <c r="L509" s="170" t="s">
        <v>70</v>
      </c>
      <c r="M509" s="170" t="s">
        <v>55</v>
      </c>
      <c r="N509" s="170">
        <v>54.24</v>
      </c>
      <c r="O509" s="170">
        <v>11.98</v>
      </c>
      <c r="P509" s="173">
        <f t="shared" si="35"/>
        <v>42.260000000000005</v>
      </c>
      <c r="Q509" s="170">
        <v>445</v>
      </c>
      <c r="R509" s="175">
        <f t="shared" si="36"/>
        <v>18805.7</v>
      </c>
      <c r="S509" s="174"/>
      <c r="T509" s="176"/>
      <c r="V509" s="176" t="s">
        <v>24</v>
      </c>
      <c r="W509" s="174">
        <v>145</v>
      </c>
      <c r="X509" s="177">
        <f t="shared" si="37"/>
        <v>6127.7000000000007</v>
      </c>
      <c r="Y509" s="178">
        <v>260</v>
      </c>
      <c r="Z509" s="178">
        <f t="shared" si="38"/>
        <v>10987.600000000002</v>
      </c>
      <c r="AA509" s="176">
        <f t="shared" si="39"/>
        <v>35921</v>
      </c>
    </row>
    <row r="510" spans="1:38" s="179" customFormat="1" ht="17.100000000000001" customHeight="1">
      <c r="A510" s="32">
        <v>507</v>
      </c>
      <c r="B510" s="168">
        <v>45951</v>
      </c>
      <c r="C510" s="168">
        <v>45951</v>
      </c>
      <c r="D510" s="169">
        <v>251021001</v>
      </c>
      <c r="E510" s="170" t="s">
        <v>1256</v>
      </c>
      <c r="F510" s="170" t="s">
        <v>1257</v>
      </c>
      <c r="G510" s="170">
        <v>30</v>
      </c>
      <c r="H510" s="183">
        <v>115</v>
      </c>
      <c r="I510" s="184" t="s">
        <v>46</v>
      </c>
      <c r="J510" s="185" t="s">
        <v>23</v>
      </c>
      <c r="K510" s="186" t="s">
        <v>38</v>
      </c>
      <c r="L510" s="170" t="s">
        <v>39</v>
      </c>
      <c r="M510" s="170" t="s">
        <v>40</v>
      </c>
      <c r="N510" s="170">
        <v>41.24</v>
      </c>
      <c r="O510" s="170">
        <v>10.46</v>
      </c>
      <c r="P510" s="173">
        <f t="shared" si="35"/>
        <v>30.78</v>
      </c>
      <c r="Q510" s="170">
        <v>315</v>
      </c>
      <c r="R510" s="175">
        <f t="shared" si="36"/>
        <v>9695.7000000000007</v>
      </c>
      <c r="S510" s="174"/>
      <c r="T510" s="176"/>
      <c r="V510" s="176" t="s">
        <v>24</v>
      </c>
      <c r="W510" s="174">
        <v>145</v>
      </c>
      <c r="X510" s="177">
        <f t="shared" si="37"/>
        <v>4463.1000000000004</v>
      </c>
      <c r="Y510" s="178">
        <v>260</v>
      </c>
      <c r="Z510" s="178">
        <f t="shared" si="38"/>
        <v>8002.8</v>
      </c>
      <c r="AA510" s="176">
        <f t="shared" si="39"/>
        <v>22161.600000000002</v>
      </c>
      <c r="AB510" s="188"/>
      <c r="AC510" s="187"/>
      <c r="AD510" s="189"/>
      <c r="AE510" s="190"/>
      <c r="AF510" s="187"/>
      <c r="AG510" s="190"/>
      <c r="AH510" s="187"/>
      <c r="AI510" s="189"/>
      <c r="AJ510" s="187"/>
      <c r="AK510" s="189"/>
      <c r="AL510" s="189"/>
    </row>
    <row r="511" spans="1:38" s="179" customFormat="1" ht="15.75">
      <c r="A511" s="32">
        <v>508</v>
      </c>
      <c r="B511" s="168">
        <v>45951</v>
      </c>
      <c r="C511" s="168">
        <v>45951</v>
      </c>
      <c r="D511" s="169">
        <v>251021005</v>
      </c>
      <c r="E511" s="170" t="s">
        <v>1258</v>
      </c>
      <c r="F511" s="170" t="s">
        <v>1259</v>
      </c>
      <c r="G511" s="170">
        <v>46</v>
      </c>
      <c r="H511" s="183">
        <v>115</v>
      </c>
      <c r="I511" s="184" t="s">
        <v>46</v>
      </c>
      <c r="J511" s="185" t="s">
        <v>23</v>
      </c>
      <c r="K511" s="186" t="s">
        <v>38</v>
      </c>
      <c r="L511" s="170" t="s">
        <v>82</v>
      </c>
      <c r="M511" s="170" t="s">
        <v>48</v>
      </c>
      <c r="N511" s="170">
        <v>61.72</v>
      </c>
      <c r="O511" s="170">
        <v>15.04</v>
      </c>
      <c r="P511" s="173">
        <f t="shared" si="35"/>
        <v>46.68</v>
      </c>
      <c r="Q511" s="170">
        <v>545</v>
      </c>
      <c r="R511" s="175">
        <f t="shared" si="36"/>
        <v>25440.6</v>
      </c>
      <c r="S511" s="174"/>
      <c r="T511" s="176"/>
      <c r="V511" s="176" t="s">
        <v>24</v>
      </c>
      <c r="W511" s="174">
        <v>145</v>
      </c>
      <c r="X511" s="177">
        <f t="shared" si="37"/>
        <v>6768.6</v>
      </c>
      <c r="Y511" s="178">
        <v>260</v>
      </c>
      <c r="Z511" s="178">
        <f t="shared" si="38"/>
        <v>12136.8</v>
      </c>
      <c r="AA511" s="176">
        <f t="shared" si="39"/>
        <v>44346</v>
      </c>
    </row>
    <row r="512" spans="1:38" s="179" customFormat="1" ht="15.75">
      <c r="A512" s="32">
        <v>509</v>
      </c>
      <c r="B512" s="168">
        <v>45951</v>
      </c>
      <c r="C512" s="168">
        <v>45951</v>
      </c>
      <c r="D512" s="169">
        <v>251021006</v>
      </c>
      <c r="E512" s="170" t="s">
        <v>1260</v>
      </c>
      <c r="F512" s="170" t="s">
        <v>1261</v>
      </c>
      <c r="G512" s="170">
        <v>45</v>
      </c>
      <c r="H512" s="183">
        <v>115</v>
      </c>
      <c r="I512" s="184" t="s">
        <v>46</v>
      </c>
      <c r="J512" s="185" t="s">
        <v>23</v>
      </c>
      <c r="K512" s="186" t="s">
        <v>38</v>
      </c>
      <c r="L512" s="170" t="s">
        <v>125</v>
      </c>
      <c r="M512" s="170" t="s">
        <v>48</v>
      </c>
      <c r="N512" s="170">
        <v>60.98</v>
      </c>
      <c r="O512" s="170">
        <v>15.66</v>
      </c>
      <c r="P512" s="173">
        <f t="shared" si="35"/>
        <v>45.319999999999993</v>
      </c>
      <c r="Q512" s="170">
        <v>545</v>
      </c>
      <c r="R512" s="175">
        <f t="shared" si="36"/>
        <v>24699.399999999998</v>
      </c>
      <c r="S512" s="174"/>
      <c r="T512" s="176"/>
      <c r="V512" s="176" t="s">
        <v>24</v>
      </c>
      <c r="W512" s="174">
        <v>145</v>
      </c>
      <c r="X512" s="177">
        <f t="shared" si="37"/>
        <v>6571.3999999999987</v>
      </c>
      <c r="Y512" s="178">
        <v>260</v>
      </c>
      <c r="Z512" s="178">
        <f t="shared" si="38"/>
        <v>11783.199999999999</v>
      </c>
      <c r="AA512" s="176">
        <f t="shared" si="39"/>
        <v>43053.999999999993</v>
      </c>
    </row>
    <row r="513" spans="1:27" s="179" customFormat="1" ht="15.75">
      <c r="A513" s="32">
        <v>510</v>
      </c>
      <c r="B513" s="168">
        <v>45951</v>
      </c>
      <c r="C513" s="168">
        <v>45951</v>
      </c>
      <c r="D513" s="169">
        <v>251021009</v>
      </c>
      <c r="E513" s="170" t="s">
        <v>1262</v>
      </c>
      <c r="F513" s="170" t="s">
        <v>1263</v>
      </c>
      <c r="G513" s="170">
        <v>39</v>
      </c>
      <c r="H513" s="183">
        <v>115</v>
      </c>
      <c r="I513" s="184" t="s">
        <v>46</v>
      </c>
      <c r="J513" s="185" t="s">
        <v>23</v>
      </c>
      <c r="K513" s="186" t="s">
        <v>38</v>
      </c>
      <c r="L513" s="170" t="s">
        <v>98</v>
      </c>
      <c r="M513" s="170" t="s">
        <v>55</v>
      </c>
      <c r="N513" s="170">
        <v>51.54</v>
      </c>
      <c r="O513" s="181">
        <v>11.8</v>
      </c>
      <c r="P513" s="173">
        <f t="shared" si="35"/>
        <v>39.739999999999995</v>
      </c>
      <c r="Q513" s="170">
        <v>445</v>
      </c>
      <c r="R513" s="175">
        <f t="shared" si="36"/>
        <v>17684.3</v>
      </c>
      <c r="S513" s="174"/>
      <c r="T513" s="176"/>
      <c r="V513" s="176" t="s">
        <v>24</v>
      </c>
      <c r="W513" s="174">
        <v>145</v>
      </c>
      <c r="X513" s="177">
        <f t="shared" si="37"/>
        <v>5762.2999999999993</v>
      </c>
      <c r="Y513" s="178">
        <v>260</v>
      </c>
      <c r="Z513" s="178">
        <f t="shared" si="38"/>
        <v>10332.399999999998</v>
      </c>
      <c r="AA513" s="176">
        <f t="shared" si="39"/>
        <v>33779</v>
      </c>
    </row>
    <row r="514" spans="1:27" s="179" customFormat="1" ht="15.75">
      <c r="A514" s="32">
        <v>511</v>
      </c>
      <c r="B514" s="168">
        <v>45951</v>
      </c>
      <c r="C514" s="168">
        <v>45951</v>
      </c>
      <c r="D514" s="169">
        <v>251021003</v>
      </c>
      <c r="E514" s="170" t="s">
        <v>1264</v>
      </c>
      <c r="F514" s="170" t="s">
        <v>1265</v>
      </c>
      <c r="G514" s="170">
        <v>49</v>
      </c>
      <c r="H514" s="183">
        <v>115</v>
      </c>
      <c r="I514" s="184" t="s">
        <v>46</v>
      </c>
      <c r="J514" s="185" t="s">
        <v>23</v>
      </c>
      <c r="K514" s="186" t="s">
        <v>38</v>
      </c>
      <c r="L514" s="170" t="s">
        <v>193</v>
      </c>
      <c r="M514" s="170" t="s">
        <v>40</v>
      </c>
      <c r="N514" s="181">
        <v>65.540000000000006</v>
      </c>
      <c r="O514" s="170">
        <v>15.64</v>
      </c>
      <c r="P514" s="173">
        <f t="shared" si="35"/>
        <v>49.900000000000006</v>
      </c>
      <c r="Q514" s="170">
        <v>315</v>
      </c>
      <c r="R514" s="175">
        <f t="shared" si="36"/>
        <v>15718.500000000002</v>
      </c>
      <c r="S514" s="174"/>
      <c r="T514" s="176"/>
      <c r="V514" s="176" t="s">
        <v>24</v>
      </c>
      <c r="W514" s="174">
        <v>145</v>
      </c>
      <c r="X514" s="177">
        <f t="shared" si="37"/>
        <v>7235.5000000000009</v>
      </c>
      <c r="Y514" s="178">
        <v>260</v>
      </c>
      <c r="Z514" s="178">
        <f t="shared" si="38"/>
        <v>12974.000000000002</v>
      </c>
      <c r="AA514" s="176">
        <f t="shared" si="39"/>
        <v>35928.000000000007</v>
      </c>
    </row>
    <row r="515" spans="1:27" s="182" customFormat="1" ht="15.75">
      <c r="A515" s="32">
        <v>512</v>
      </c>
      <c r="B515" s="168">
        <v>45951</v>
      </c>
      <c r="C515" s="168">
        <v>45951</v>
      </c>
      <c r="D515" s="169">
        <v>251021010</v>
      </c>
      <c r="E515" s="170" t="s">
        <v>1266</v>
      </c>
      <c r="F515" s="170" t="s">
        <v>1267</v>
      </c>
      <c r="G515" s="170">
        <v>45</v>
      </c>
      <c r="H515" s="183">
        <v>115</v>
      </c>
      <c r="I515" s="184" t="s">
        <v>46</v>
      </c>
      <c r="J515" s="185" t="s">
        <v>23</v>
      </c>
      <c r="K515" s="186" t="s">
        <v>38</v>
      </c>
      <c r="L515" s="170" t="s">
        <v>116</v>
      </c>
      <c r="M515" s="170" t="s">
        <v>48</v>
      </c>
      <c r="N515" s="170">
        <v>60.62</v>
      </c>
      <c r="O515" s="170">
        <v>15.04</v>
      </c>
      <c r="P515" s="173">
        <f t="shared" si="35"/>
        <v>45.58</v>
      </c>
      <c r="Q515" s="170">
        <v>545</v>
      </c>
      <c r="R515" s="175">
        <f t="shared" si="36"/>
        <v>24841.1</v>
      </c>
      <c r="S515" s="174"/>
      <c r="T515" s="176"/>
      <c r="V515" s="176" t="s">
        <v>24</v>
      </c>
      <c r="W515" s="174">
        <v>145</v>
      </c>
      <c r="X515" s="177">
        <f t="shared" si="37"/>
        <v>6609.0999999999995</v>
      </c>
      <c r="Y515" s="178">
        <v>260</v>
      </c>
      <c r="Z515" s="176">
        <f t="shared" si="38"/>
        <v>11850.8</v>
      </c>
      <c r="AA515" s="176">
        <f t="shared" si="39"/>
        <v>43301</v>
      </c>
    </row>
    <row r="516" spans="1:27" s="179" customFormat="1" ht="15.75">
      <c r="A516" s="32">
        <v>513</v>
      </c>
      <c r="B516" s="168">
        <v>45951</v>
      </c>
      <c r="C516" s="168">
        <v>45951</v>
      </c>
      <c r="D516" s="169">
        <v>251021012</v>
      </c>
      <c r="E516" s="170" t="s">
        <v>1268</v>
      </c>
      <c r="F516" s="170" t="s">
        <v>1269</v>
      </c>
      <c r="G516" s="170">
        <v>39</v>
      </c>
      <c r="H516" s="183">
        <v>115</v>
      </c>
      <c r="I516" s="184" t="s">
        <v>46</v>
      </c>
      <c r="J516" s="185" t="s">
        <v>23</v>
      </c>
      <c r="K516" s="186" t="s">
        <v>38</v>
      </c>
      <c r="L516" s="170" t="s">
        <v>101</v>
      </c>
      <c r="M516" s="170" t="s">
        <v>55</v>
      </c>
      <c r="N516" s="181">
        <v>51.02</v>
      </c>
      <c r="O516" s="181">
        <v>11.5</v>
      </c>
      <c r="P516" s="173">
        <f t="shared" ref="P516:P579" si="40">N516-O516</f>
        <v>39.520000000000003</v>
      </c>
      <c r="Q516" s="170">
        <v>445</v>
      </c>
      <c r="R516" s="175">
        <f t="shared" ref="R516:R579" si="41">Q516*P516</f>
        <v>17586.400000000001</v>
      </c>
      <c r="S516" s="174"/>
      <c r="T516" s="176"/>
      <c r="V516" s="176" t="s">
        <v>24</v>
      </c>
      <c r="W516" s="174">
        <v>145</v>
      </c>
      <c r="X516" s="177">
        <f t="shared" ref="X516:X579" si="42">W516*P516</f>
        <v>5730.4000000000005</v>
      </c>
      <c r="Y516" s="178">
        <v>260</v>
      </c>
      <c r="Z516" s="176">
        <f t="shared" ref="Z516:Z579" si="43">Y516*P516</f>
        <v>10275.200000000001</v>
      </c>
      <c r="AA516" s="176">
        <f t="shared" ref="AA516:AA579" si="44">R516+X516+Z516</f>
        <v>33592</v>
      </c>
    </row>
    <row r="517" spans="1:27" s="179" customFormat="1" ht="15.75">
      <c r="A517" s="32">
        <v>514</v>
      </c>
      <c r="B517" s="168">
        <v>45951</v>
      </c>
      <c r="C517" s="168">
        <v>45951</v>
      </c>
      <c r="D517" s="169">
        <v>251021014</v>
      </c>
      <c r="E517" s="170" t="s">
        <v>1270</v>
      </c>
      <c r="F517" s="170" t="s">
        <v>1271</v>
      </c>
      <c r="G517" s="170">
        <v>31</v>
      </c>
      <c r="H517" s="183">
        <v>115</v>
      </c>
      <c r="I517" s="184" t="s">
        <v>46</v>
      </c>
      <c r="J517" s="185" t="s">
        <v>23</v>
      </c>
      <c r="K517" s="186" t="s">
        <v>38</v>
      </c>
      <c r="L517" s="170" t="s">
        <v>107</v>
      </c>
      <c r="M517" s="170" t="s">
        <v>40</v>
      </c>
      <c r="N517" s="170">
        <v>43.79</v>
      </c>
      <c r="O517" s="170">
        <v>11.95</v>
      </c>
      <c r="P517" s="173">
        <f t="shared" si="40"/>
        <v>31.84</v>
      </c>
      <c r="Q517" s="170">
        <v>315</v>
      </c>
      <c r="R517" s="175">
        <f t="shared" si="41"/>
        <v>10029.6</v>
      </c>
      <c r="S517" s="174"/>
      <c r="T517" s="176"/>
      <c r="V517" s="176" t="s">
        <v>1272</v>
      </c>
      <c r="W517" s="174">
        <v>145</v>
      </c>
      <c r="X517" s="177">
        <f t="shared" si="42"/>
        <v>4616.8</v>
      </c>
      <c r="Y517" s="178">
        <v>260</v>
      </c>
      <c r="Z517" s="176">
        <f t="shared" si="43"/>
        <v>8278.4</v>
      </c>
      <c r="AA517" s="176">
        <f t="shared" si="44"/>
        <v>22924.800000000003</v>
      </c>
    </row>
    <row r="518" spans="1:27" s="182" customFormat="1" ht="15.75">
      <c r="A518" s="32">
        <v>515</v>
      </c>
      <c r="B518" s="168">
        <v>45951</v>
      </c>
      <c r="C518" s="168">
        <v>45951</v>
      </c>
      <c r="D518" s="169">
        <v>251021011</v>
      </c>
      <c r="E518" s="170" t="s">
        <v>1273</v>
      </c>
      <c r="F518" s="170" t="s">
        <v>1274</v>
      </c>
      <c r="G518" s="170">
        <v>49</v>
      </c>
      <c r="H518" s="183">
        <v>115</v>
      </c>
      <c r="I518" s="184" t="s">
        <v>46</v>
      </c>
      <c r="J518" s="185" t="s">
        <v>23</v>
      </c>
      <c r="K518" s="186" t="s">
        <v>38</v>
      </c>
      <c r="L518" s="170" t="s">
        <v>516</v>
      </c>
      <c r="M518" s="170" t="s">
        <v>48</v>
      </c>
      <c r="N518" s="170">
        <v>67.36</v>
      </c>
      <c r="O518" s="170">
        <v>18.260000000000002</v>
      </c>
      <c r="P518" s="173">
        <f t="shared" si="40"/>
        <v>49.099999999999994</v>
      </c>
      <c r="Q518" s="170">
        <v>545</v>
      </c>
      <c r="R518" s="175">
        <f t="shared" si="41"/>
        <v>26759.499999999996</v>
      </c>
      <c r="S518" s="174"/>
      <c r="T518" s="176"/>
      <c r="V518" s="176" t="s">
        <v>24</v>
      </c>
      <c r="W518" s="174">
        <v>145</v>
      </c>
      <c r="X518" s="177">
        <f t="shared" si="42"/>
        <v>7119.4999999999991</v>
      </c>
      <c r="Y518" s="178">
        <v>260</v>
      </c>
      <c r="Z518" s="176">
        <f t="shared" si="43"/>
        <v>12765.999999999998</v>
      </c>
      <c r="AA518" s="176">
        <f t="shared" si="44"/>
        <v>46644.999999999993</v>
      </c>
    </row>
    <row r="519" spans="1:27" s="179" customFormat="1" ht="15.75">
      <c r="A519" s="32">
        <v>516</v>
      </c>
      <c r="B519" s="168">
        <v>45951</v>
      </c>
      <c r="C519" s="168">
        <v>45951</v>
      </c>
      <c r="D519" s="169">
        <v>251021013</v>
      </c>
      <c r="E519" s="170" t="s">
        <v>1275</v>
      </c>
      <c r="F519" s="170" t="s">
        <v>1276</v>
      </c>
      <c r="G519" s="170">
        <v>52</v>
      </c>
      <c r="H519" s="183">
        <v>115</v>
      </c>
      <c r="I519" s="184" t="s">
        <v>46</v>
      </c>
      <c r="J519" s="185" t="s">
        <v>23</v>
      </c>
      <c r="K519" s="186" t="s">
        <v>38</v>
      </c>
      <c r="L519" s="170" t="s">
        <v>61</v>
      </c>
      <c r="M519" s="170" t="s">
        <v>55</v>
      </c>
      <c r="N519" s="170">
        <v>68.16</v>
      </c>
      <c r="O519" s="181">
        <v>15.9</v>
      </c>
      <c r="P519" s="173">
        <f t="shared" si="40"/>
        <v>52.26</v>
      </c>
      <c r="Q519" s="170">
        <v>445</v>
      </c>
      <c r="R519" s="175">
        <f t="shared" si="41"/>
        <v>23255.7</v>
      </c>
      <c r="S519" s="174"/>
      <c r="T519" s="176"/>
      <c r="V519" s="176" t="s">
        <v>24</v>
      </c>
      <c r="W519" s="174">
        <v>145</v>
      </c>
      <c r="X519" s="177">
        <f t="shared" si="42"/>
        <v>7577.7</v>
      </c>
      <c r="Y519" s="178">
        <v>260</v>
      </c>
      <c r="Z519" s="176">
        <f t="shared" si="43"/>
        <v>13587.6</v>
      </c>
      <c r="AA519" s="176">
        <f t="shared" si="44"/>
        <v>44421</v>
      </c>
    </row>
    <row r="520" spans="1:27" s="179" customFormat="1" ht="15.75">
      <c r="A520" s="32">
        <v>517</v>
      </c>
      <c r="B520" s="168">
        <v>45951</v>
      </c>
      <c r="C520" s="168">
        <v>45951</v>
      </c>
      <c r="D520" s="169">
        <v>251021015</v>
      </c>
      <c r="E520" s="170" t="s">
        <v>1277</v>
      </c>
      <c r="F520" s="170" t="s">
        <v>1278</v>
      </c>
      <c r="G520" s="170">
        <v>49</v>
      </c>
      <c r="H520" s="183">
        <v>115</v>
      </c>
      <c r="I520" s="184" t="s">
        <v>46</v>
      </c>
      <c r="J520" s="185" t="s">
        <v>23</v>
      </c>
      <c r="K520" s="186" t="s">
        <v>38</v>
      </c>
      <c r="L520" s="170" t="s">
        <v>64</v>
      </c>
      <c r="M520" s="170" t="s">
        <v>48</v>
      </c>
      <c r="N520" s="170">
        <v>65.86</v>
      </c>
      <c r="O520" s="170">
        <v>16.28</v>
      </c>
      <c r="P520" s="173">
        <f t="shared" si="40"/>
        <v>49.58</v>
      </c>
      <c r="Q520" s="170">
        <v>545</v>
      </c>
      <c r="R520" s="175">
        <f t="shared" si="41"/>
        <v>27021.1</v>
      </c>
      <c r="S520" s="174"/>
      <c r="T520" s="176"/>
      <c r="V520" s="176" t="s">
        <v>24</v>
      </c>
      <c r="W520" s="174">
        <v>145</v>
      </c>
      <c r="X520" s="177">
        <f t="shared" si="42"/>
        <v>7189.0999999999995</v>
      </c>
      <c r="Y520" s="178">
        <v>260</v>
      </c>
      <c r="Z520" s="176">
        <f t="shared" si="43"/>
        <v>12890.8</v>
      </c>
      <c r="AA520" s="176">
        <f t="shared" si="44"/>
        <v>47101</v>
      </c>
    </row>
    <row r="521" spans="1:27" s="179" customFormat="1" ht="15.75">
      <c r="A521" s="32">
        <v>518</v>
      </c>
      <c r="B521" s="168">
        <v>45951</v>
      </c>
      <c r="C521" s="168">
        <v>45951</v>
      </c>
      <c r="D521" s="169">
        <v>251021008</v>
      </c>
      <c r="E521" s="170" t="s">
        <v>1279</v>
      </c>
      <c r="F521" s="170" t="s">
        <v>1280</v>
      </c>
      <c r="G521" s="170">
        <v>57</v>
      </c>
      <c r="H521" s="183">
        <v>115</v>
      </c>
      <c r="I521" s="184" t="s">
        <v>46</v>
      </c>
      <c r="J521" s="185" t="s">
        <v>23</v>
      </c>
      <c r="K521" s="186" t="s">
        <v>38</v>
      </c>
      <c r="L521" s="169" t="s">
        <v>172</v>
      </c>
      <c r="M521" s="170" t="s">
        <v>48</v>
      </c>
      <c r="N521" s="181">
        <v>74.88</v>
      </c>
      <c r="O521" s="170">
        <v>17.760000000000002</v>
      </c>
      <c r="P521" s="173">
        <f t="shared" si="40"/>
        <v>57.11999999999999</v>
      </c>
      <c r="Q521" s="170">
        <v>545</v>
      </c>
      <c r="R521" s="175">
        <f t="shared" si="41"/>
        <v>31130.399999999994</v>
      </c>
      <c r="S521" s="174"/>
      <c r="T521" s="176"/>
      <c r="V521" s="176" t="s">
        <v>24</v>
      </c>
      <c r="W521" s="174">
        <v>145</v>
      </c>
      <c r="X521" s="177">
        <f t="shared" si="42"/>
        <v>8282.3999999999978</v>
      </c>
      <c r="Y521" s="178">
        <v>260</v>
      </c>
      <c r="Z521" s="176">
        <f t="shared" si="43"/>
        <v>14851.199999999997</v>
      </c>
      <c r="AA521" s="176">
        <f t="shared" si="44"/>
        <v>54263.999999999985</v>
      </c>
    </row>
    <row r="522" spans="1:27" s="179" customFormat="1" ht="15.75">
      <c r="A522" s="32">
        <v>519</v>
      </c>
      <c r="B522" s="168">
        <v>45951</v>
      </c>
      <c r="C522" s="168">
        <v>45951</v>
      </c>
      <c r="D522" s="169">
        <v>251021017</v>
      </c>
      <c r="E522" s="170" t="s">
        <v>1281</v>
      </c>
      <c r="F522" s="170" t="s">
        <v>1282</v>
      </c>
      <c r="G522" s="170">
        <v>43</v>
      </c>
      <c r="H522" s="183">
        <v>115</v>
      </c>
      <c r="I522" s="184" t="s">
        <v>46</v>
      </c>
      <c r="J522" s="185" t="s">
        <v>23</v>
      </c>
      <c r="K522" s="184" t="s">
        <v>38</v>
      </c>
      <c r="L522" s="169" t="s">
        <v>67</v>
      </c>
      <c r="M522" s="170" t="s">
        <v>48</v>
      </c>
      <c r="N522" s="170">
        <v>59.72</v>
      </c>
      <c r="O522" s="170">
        <v>15.76</v>
      </c>
      <c r="P522" s="173">
        <f t="shared" si="40"/>
        <v>43.96</v>
      </c>
      <c r="Q522" s="170">
        <v>545</v>
      </c>
      <c r="R522" s="175">
        <f t="shared" si="41"/>
        <v>23958.2</v>
      </c>
      <c r="S522" s="174"/>
      <c r="T522" s="176"/>
      <c r="V522" s="176" t="s">
        <v>24</v>
      </c>
      <c r="W522" s="174">
        <v>145</v>
      </c>
      <c r="X522" s="177">
        <f t="shared" si="42"/>
        <v>6374.2</v>
      </c>
      <c r="Y522" s="178">
        <v>260</v>
      </c>
      <c r="Z522" s="176">
        <f t="shared" si="43"/>
        <v>11429.6</v>
      </c>
      <c r="AA522" s="176">
        <f t="shared" si="44"/>
        <v>41762</v>
      </c>
    </row>
    <row r="523" spans="1:27" s="179" customFormat="1" ht="15.75">
      <c r="A523" s="32">
        <v>520</v>
      </c>
      <c r="B523" s="168">
        <v>45951</v>
      </c>
      <c r="C523" s="168">
        <v>45951</v>
      </c>
      <c r="D523" s="169">
        <v>251021018</v>
      </c>
      <c r="E523" s="170" t="s">
        <v>1283</v>
      </c>
      <c r="F523" s="170" t="s">
        <v>1284</v>
      </c>
      <c r="G523" s="170">
        <v>21</v>
      </c>
      <c r="H523" s="191">
        <v>18</v>
      </c>
      <c r="I523" s="184" t="s">
        <v>155</v>
      </c>
      <c r="J523" s="192" t="s">
        <v>23</v>
      </c>
      <c r="K523" s="184" t="s">
        <v>38</v>
      </c>
      <c r="L523" s="170" t="s">
        <v>156</v>
      </c>
      <c r="M523" s="170" t="s">
        <v>40</v>
      </c>
      <c r="N523" s="181">
        <v>36.42</v>
      </c>
      <c r="O523" s="170">
        <v>14.44</v>
      </c>
      <c r="P523" s="173">
        <f t="shared" si="40"/>
        <v>21.980000000000004</v>
      </c>
      <c r="Q523" s="170">
        <v>420</v>
      </c>
      <c r="R523" s="175">
        <f t="shared" si="41"/>
        <v>9231.6000000000022</v>
      </c>
      <c r="S523" s="174"/>
      <c r="T523" s="176"/>
      <c r="V523" s="176" t="s">
        <v>24</v>
      </c>
      <c r="W523" s="174">
        <v>145</v>
      </c>
      <c r="X523" s="177">
        <f t="shared" si="42"/>
        <v>3187.1000000000004</v>
      </c>
      <c r="Y523" s="178"/>
      <c r="Z523" s="176">
        <f t="shared" si="43"/>
        <v>0</v>
      </c>
      <c r="AA523" s="176">
        <f t="shared" si="44"/>
        <v>12418.700000000003</v>
      </c>
    </row>
    <row r="524" spans="1:27" s="179" customFormat="1" ht="15.75">
      <c r="A524" s="32">
        <v>521</v>
      </c>
      <c r="B524" s="168">
        <v>45951</v>
      </c>
      <c r="C524" s="168">
        <v>45951</v>
      </c>
      <c r="D524" s="169">
        <v>251021019</v>
      </c>
      <c r="E524" s="170" t="s">
        <v>1285</v>
      </c>
      <c r="F524" s="170" t="s">
        <v>1286</v>
      </c>
      <c r="G524" s="170">
        <v>21</v>
      </c>
      <c r="H524" s="191">
        <v>18</v>
      </c>
      <c r="I524" s="184" t="s">
        <v>155</v>
      </c>
      <c r="J524" s="192" t="s">
        <v>23</v>
      </c>
      <c r="K524" s="184" t="s">
        <v>38</v>
      </c>
      <c r="L524" s="170" t="s">
        <v>162</v>
      </c>
      <c r="M524" s="170" t="s">
        <v>40</v>
      </c>
      <c r="N524" s="181">
        <v>36.32</v>
      </c>
      <c r="O524" s="170">
        <v>14.26</v>
      </c>
      <c r="P524" s="173">
        <f t="shared" si="40"/>
        <v>22.060000000000002</v>
      </c>
      <c r="Q524" s="170">
        <v>420</v>
      </c>
      <c r="R524" s="175">
        <f t="shared" si="41"/>
        <v>9265.2000000000007</v>
      </c>
      <c r="S524" s="174"/>
      <c r="T524" s="176"/>
      <c r="V524" s="176" t="s">
        <v>24</v>
      </c>
      <c r="W524" s="174">
        <v>145</v>
      </c>
      <c r="X524" s="177">
        <f t="shared" si="42"/>
        <v>3198.7000000000003</v>
      </c>
      <c r="Y524" s="178"/>
      <c r="Z524" s="176">
        <f t="shared" si="43"/>
        <v>0</v>
      </c>
      <c r="AA524" s="176">
        <f t="shared" si="44"/>
        <v>12463.900000000001</v>
      </c>
    </row>
    <row r="525" spans="1:27" s="182" customFormat="1" ht="15.75">
      <c r="A525" s="32">
        <v>522</v>
      </c>
      <c r="B525" s="168">
        <v>45951</v>
      </c>
      <c r="C525" s="168">
        <v>45951</v>
      </c>
      <c r="D525" s="169">
        <v>251021016</v>
      </c>
      <c r="E525" s="170" t="s">
        <v>1287</v>
      </c>
      <c r="F525" s="170" t="s">
        <v>1288</v>
      </c>
      <c r="G525" s="170">
        <v>39</v>
      </c>
      <c r="H525" s="183">
        <v>115</v>
      </c>
      <c r="I525" s="184" t="s">
        <v>46</v>
      </c>
      <c r="J525" s="185" t="s">
        <v>23</v>
      </c>
      <c r="K525" s="186" t="s">
        <v>38</v>
      </c>
      <c r="L525" s="170" t="s">
        <v>342</v>
      </c>
      <c r="M525" s="170" t="s">
        <v>55</v>
      </c>
      <c r="N525" s="181">
        <v>50.6</v>
      </c>
      <c r="O525" s="181">
        <v>11.4</v>
      </c>
      <c r="P525" s="173">
        <f t="shared" si="40"/>
        <v>39.200000000000003</v>
      </c>
      <c r="Q525" s="170">
        <v>445</v>
      </c>
      <c r="R525" s="175">
        <f t="shared" si="41"/>
        <v>17444</v>
      </c>
      <c r="S525" s="174"/>
      <c r="T525" s="176"/>
      <c r="V525" s="176" t="s">
        <v>24</v>
      </c>
      <c r="W525" s="174">
        <v>145</v>
      </c>
      <c r="X525" s="177">
        <f t="shared" si="42"/>
        <v>5684</v>
      </c>
      <c r="Y525" s="178">
        <v>260</v>
      </c>
      <c r="Z525" s="176">
        <f t="shared" si="43"/>
        <v>10192</v>
      </c>
      <c r="AA525" s="176">
        <f t="shared" si="44"/>
        <v>33320</v>
      </c>
    </row>
    <row r="526" spans="1:27" s="182" customFormat="1" ht="15.75">
      <c r="A526" s="32">
        <v>523</v>
      </c>
      <c r="B526" s="168">
        <v>45951</v>
      </c>
      <c r="C526" s="168">
        <v>45951</v>
      </c>
      <c r="D526" s="169">
        <v>251021020</v>
      </c>
      <c r="E526" s="170" t="s">
        <v>1289</v>
      </c>
      <c r="F526" s="170" t="s">
        <v>1290</v>
      </c>
      <c r="G526" s="170">
        <v>35</v>
      </c>
      <c r="H526" s="193">
        <v>125</v>
      </c>
      <c r="I526" s="16" t="s">
        <v>1291</v>
      </c>
      <c r="J526" s="194" t="s">
        <v>23</v>
      </c>
      <c r="K526" s="16" t="s">
        <v>38</v>
      </c>
      <c r="L526" s="170" t="s">
        <v>113</v>
      </c>
      <c r="M526" s="170" t="s">
        <v>1292</v>
      </c>
      <c r="N526" s="170">
        <v>47.22</v>
      </c>
      <c r="O526" s="181">
        <v>11.76</v>
      </c>
      <c r="P526" s="173">
        <f t="shared" si="40"/>
        <v>35.46</v>
      </c>
      <c r="Q526" s="170">
        <v>420</v>
      </c>
      <c r="R526" s="175">
        <f t="shared" si="41"/>
        <v>14893.2</v>
      </c>
      <c r="S526" s="174"/>
      <c r="T526" s="176"/>
      <c r="V526" s="176" t="s">
        <v>24</v>
      </c>
      <c r="W526" s="174">
        <v>145</v>
      </c>
      <c r="X526" s="177">
        <f t="shared" si="42"/>
        <v>5141.7</v>
      </c>
      <c r="Y526" s="178">
        <v>260</v>
      </c>
      <c r="Z526" s="176">
        <f t="shared" si="43"/>
        <v>9219.6</v>
      </c>
      <c r="AA526" s="176">
        <f t="shared" si="44"/>
        <v>29254.5</v>
      </c>
    </row>
    <row r="527" spans="1:27" s="182" customFormat="1" ht="15.75">
      <c r="A527" s="32">
        <v>524</v>
      </c>
      <c r="B527" s="168">
        <v>45951</v>
      </c>
      <c r="C527" s="168">
        <v>45951</v>
      </c>
      <c r="D527" s="169">
        <v>251021021</v>
      </c>
      <c r="E527" s="170" t="s">
        <v>1293</v>
      </c>
      <c r="F527" s="170" t="s">
        <v>1294</v>
      </c>
      <c r="G527" s="170">
        <v>50</v>
      </c>
      <c r="H527" s="193">
        <v>125</v>
      </c>
      <c r="I527" s="16" t="s">
        <v>1291</v>
      </c>
      <c r="J527" s="194" t="s">
        <v>23</v>
      </c>
      <c r="K527" s="16" t="s">
        <v>38</v>
      </c>
      <c r="L527" s="170" t="s">
        <v>119</v>
      </c>
      <c r="M527" s="170" t="s">
        <v>1292</v>
      </c>
      <c r="N527" s="170">
        <v>68.72</v>
      </c>
      <c r="O527" s="181">
        <v>18</v>
      </c>
      <c r="P527" s="173">
        <f t="shared" si="40"/>
        <v>50.72</v>
      </c>
      <c r="Q527" s="170">
        <v>420</v>
      </c>
      <c r="R527" s="175">
        <f t="shared" si="41"/>
        <v>21302.399999999998</v>
      </c>
      <c r="S527" s="174"/>
      <c r="T527" s="176"/>
      <c r="V527" s="176" t="s">
        <v>24</v>
      </c>
      <c r="W527" s="174">
        <v>145</v>
      </c>
      <c r="X527" s="177">
        <f t="shared" si="42"/>
        <v>7354.4</v>
      </c>
      <c r="Y527" s="178">
        <v>260</v>
      </c>
      <c r="Z527" s="178">
        <f t="shared" si="43"/>
        <v>13187.199999999999</v>
      </c>
      <c r="AA527" s="176">
        <f t="shared" si="44"/>
        <v>41843.999999999993</v>
      </c>
    </row>
    <row r="528" spans="1:27" s="179" customFormat="1" ht="15.75">
      <c r="A528" s="32">
        <v>525</v>
      </c>
      <c r="B528" s="168">
        <v>45951</v>
      </c>
      <c r="C528" s="168">
        <v>45951</v>
      </c>
      <c r="D528" s="169">
        <v>251021022</v>
      </c>
      <c r="E528" s="170" t="s">
        <v>1295</v>
      </c>
      <c r="F528" s="170" t="s">
        <v>1296</v>
      </c>
      <c r="G528" s="170">
        <v>38</v>
      </c>
      <c r="H528" s="183">
        <v>115</v>
      </c>
      <c r="I528" s="184" t="s">
        <v>46</v>
      </c>
      <c r="J528" s="185" t="s">
        <v>23</v>
      </c>
      <c r="K528" s="186" t="s">
        <v>38</v>
      </c>
      <c r="L528" s="169" t="s">
        <v>142</v>
      </c>
      <c r="M528" s="170" t="s">
        <v>55</v>
      </c>
      <c r="N528" s="170">
        <v>50.32</v>
      </c>
      <c r="O528" s="170">
        <v>11.72</v>
      </c>
      <c r="P528" s="173">
        <f t="shared" si="40"/>
        <v>38.6</v>
      </c>
      <c r="Q528" s="170">
        <v>445</v>
      </c>
      <c r="R528" s="175">
        <f t="shared" si="41"/>
        <v>17177</v>
      </c>
      <c r="S528" s="174"/>
      <c r="T528" s="176"/>
      <c r="V528" s="176" t="s">
        <v>24</v>
      </c>
      <c r="W528" s="174">
        <v>145</v>
      </c>
      <c r="X528" s="177">
        <f t="shared" si="42"/>
        <v>5597</v>
      </c>
      <c r="Y528" s="178">
        <v>260</v>
      </c>
      <c r="Z528" s="176">
        <f t="shared" si="43"/>
        <v>10036</v>
      </c>
      <c r="AA528" s="176">
        <f t="shared" si="44"/>
        <v>32810</v>
      </c>
    </row>
    <row r="529" spans="1:27" s="179" customFormat="1" ht="15.75">
      <c r="A529" s="32">
        <v>526</v>
      </c>
      <c r="B529" s="168">
        <v>45951</v>
      </c>
      <c r="C529" s="168">
        <v>45951</v>
      </c>
      <c r="D529" s="169">
        <v>251021023</v>
      </c>
      <c r="E529" s="170" t="s">
        <v>1297</v>
      </c>
      <c r="F529" s="170" t="s">
        <v>1298</v>
      </c>
      <c r="G529" s="170">
        <v>45</v>
      </c>
      <c r="H529" s="183">
        <v>115</v>
      </c>
      <c r="I529" s="184" t="s">
        <v>46</v>
      </c>
      <c r="J529" s="185" t="s">
        <v>23</v>
      </c>
      <c r="K529" s="186" t="s">
        <v>38</v>
      </c>
      <c r="L529" s="169" t="s">
        <v>198</v>
      </c>
      <c r="M529" s="170" t="s">
        <v>48</v>
      </c>
      <c r="N529" s="170">
        <v>60.94</v>
      </c>
      <c r="O529" s="181">
        <v>15.7</v>
      </c>
      <c r="P529" s="173">
        <f t="shared" si="40"/>
        <v>45.239999999999995</v>
      </c>
      <c r="Q529" s="170">
        <v>545</v>
      </c>
      <c r="R529" s="175">
        <f t="shared" si="41"/>
        <v>24655.799999999996</v>
      </c>
      <c r="S529" s="174"/>
      <c r="T529" s="176"/>
      <c r="V529" s="176" t="s">
        <v>24</v>
      </c>
      <c r="W529" s="174">
        <v>145</v>
      </c>
      <c r="X529" s="177">
        <f t="shared" si="42"/>
        <v>6559.7999999999993</v>
      </c>
      <c r="Y529" s="178">
        <v>260</v>
      </c>
      <c r="Z529" s="176">
        <f t="shared" si="43"/>
        <v>11762.399999999998</v>
      </c>
      <c r="AA529" s="176">
        <f t="shared" si="44"/>
        <v>42977.999999999993</v>
      </c>
    </row>
    <row r="530" spans="1:27" s="182" customFormat="1" ht="15.75">
      <c r="A530" s="32">
        <v>527</v>
      </c>
      <c r="B530" s="168">
        <v>45951</v>
      </c>
      <c r="C530" s="168">
        <v>45951</v>
      </c>
      <c r="D530" s="169" t="s">
        <v>1299</v>
      </c>
      <c r="E530" s="170"/>
      <c r="F530" s="170"/>
      <c r="G530" s="170"/>
      <c r="H530" s="171"/>
      <c r="I530" s="171" t="s">
        <v>1243</v>
      </c>
      <c r="J530" s="172" t="s">
        <v>23</v>
      </c>
      <c r="K530" s="171" t="s">
        <v>30</v>
      </c>
      <c r="L530" s="170" t="s">
        <v>299</v>
      </c>
      <c r="M530" s="170" t="s">
        <v>31</v>
      </c>
      <c r="N530" s="170">
        <v>9.16</v>
      </c>
      <c r="O530" s="181">
        <v>3.44</v>
      </c>
      <c r="P530" s="173">
        <f t="shared" si="40"/>
        <v>5.7200000000000006</v>
      </c>
      <c r="Q530" s="170">
        <v>150</v>
      </c>
      <c r="R530" s="175">
        <f t="shared" si="41"/>
        <v>858.00000000000011</v>
      </c>
      <c r="S530" s="174"/>
      <c r="T530" s="176">
        <v>1739</v>
      </c>
      <c r="V530" s="176" t="s">
        <v>24</v>
      </c>
      <c r="W530" s="174"/>
      <c r="X530" s="178">
        <f t="shared" si="42"/>
        <v>0</v>
      </c>
      <c r="Y530" s="178"/>
      <c r="Z530" s="176">
        <f t="shared" si="43"/>
        <v>0</v>
      </c>
      <c r="AA530" s="176">
        <f t="shared" si="44"/>
        <v>858.00000000000011</v>
      </c>
    </row>
    <row r="531" spans="1:27" s="179" customFormat="1" ht="15.75">
      <c r="A531" s="32">
        <v>528</v>
      </c>
      <c r="B531" s="168">
        <v>45951</v>
      </c>
      <c r="C531" s="168">
        <v>45951</v>
      </c>
      <c r="D531" s="169">
        <v>251021024</v>
      </c>
      <c r="E531" s="170" t="s">
        <v>1300</v>
      </c>
      <c r="F531" s="170" t="s">
        <v>1301</v>
      </c>
      <c r="G531" s="170">
        <v>31</v>
      </c>
      <c r="H531" s="183">
        <v>115</v>
      </c>
      <c r="I531" s="184" t="s">
        <v>46</v>
      </c>
      <c r="J531" s="185" t="s">
        <v>23</v>
      </c>
      <c r="K531" s="186" t="s">
        <v>38</v>
      </c>
      <c r="L531" s="170" t="s">
        <v>110</v>
      </c>
      <c r="M531" s="170" t="s">
        <v>40</v>
      </c>
      <c r="N531" s="170">
        <v>43.33</v>
      </c>
      <c r="O531" s="170">
        <v>11.65</v>
      </c>
      <c r="P531" s="173">
        <f t="shared" si="40"/>
        <v>31.68</v>
      </c>
      <c r="Q531" s="174">
        <v>315</v>
      </c>
      <c r="R531" s="175">
        <f t="shared" si="41"/>
        <v>9979.2000000000007</v>
      </c>
      <c r="S531" s="174"/>
      <c r="T531" s="176"/>
      <c r="V531" s="176" t="s">
        <v>1272</v>
      </c>
      <c r="W531" s="174">
        <v>145</v>
      </c>
      <c r="X531" s="177">
        <f t="shared" si="42"/>
        <v>4593.6000000000004</v>
      </c>
      <c r="Y531" s="178">
        <v>260</v>
      </c>
      <c r="Z531" s="178">
        <f t="shared" si="43"/>
        <v>8236.7999999999993</v>
      </c>
      <c r="AA531" s="176">
        <f t="shared" si="44"/>
        <v>22809.599999999999</v>
      </c>
    </row>
    <row r="532" spans="1:27" s="182" customFormat="1" ht="15.75">
      <c r="A532" s="32">
        <v>529</v>
      </c>
      <c r="B532" s="168">
        <v>45951</v>
      </c>
      <c r="C532" s="168">
        <v>45951</v>
      </c>
      <c r="D532" s="195">
        <v>251021025</v>
      </c>
      <c r="E532" s="170" t="s">
        <v>1302</v>
      </c>
      <c r="F532" s="170" t="s">
        <v>1303</v>
      </c>
      <c r="G532" s="170">
        <v>30</v>
      </c>
      <c r="H532" s="183">
        <v>115</v>
      </c>
      <c r="I532" s="184" t="s">
        <v>46</v>
      </c>
      <c r="J532" s="185" t="s">
        <v>23</v>
      </c>
      <c r="K532" s="186" t="s">
        <v>38</v>
      </c>
      <c r="L532" s="170" t="s">
        <v>107</v>
      </c>
      <c r="M532" s="170" t="s">
        <v>40</v>
      </c>
      <c r="N532" s="170">
        <v>43.42</v>
      </c>
      <c r="O532" s="170">
        <v>11.87</v>
      </c>
      <c r="P532" s="173">
        <f t="shared" si="40"/>
        <v>31.550000000000004</v>
      </c>
      <c r="Q532" s="174">
        <v>315</v>
      </c>
      <c r="R532" s="175">
        <f t="shared" si="41"/>
        <v>9938.2500000000018</v>
      </c>
      <c r="S532" s="174"/>
      <c r="T532" s="176"/>
      <c r="V532" s="176" t="s">
        <v>1272</v>
      </c>
      <c r="W532" s="174">
        <v>145</v>
      </c>
      <c r="X532" s="177">
        <f t="shared" si="42"/>
        <v>4574.7500000000009</v>
      </c>
      <c r="Y532" s="178">
        <v>260</v>
      </c>
      <c r="Z532" s="178">
        <f t="shared" si="43"/>
        <v>8203.0000000000018</v>
      </c>
      <c r="AA532" s="176">
        <f t="shared" si="44"/>
        <v>22716.000000000007</v>
      </c>
    </row>
    <row r="533" spans="1:27" s="179" customFormat="1" ht="15.75">
      <c r="A533" s="32">
        <v>530</v>
      </c>
      <c r="B533" s="168">
        <v>45951</v>
      </c>
      <c r="C533" s="168">
        <v>45951</v>
      </c>
      <c r="D533" s="169">
        <v>251021026</v>
      </c>
      <c r="E533" s="170" t="s">
        <v>1304</v>
      </c>
      <c r="F533" s="170" t="s">
        <v>1305</v>
      </c>
      <c r="G533" s="170">
        <v>46</v>
      </c>
      <c r="H533" s="191">
        <v>24</v>
      </c>
      <c r="I533" s="184" t="s">
        <v>37</v>
      </c>
      <c r="J533" s="35" t="s">
        <v>23</v>
      </c>
      <c r="K533" s="36" t="s">
        <v>38</v>
      </c>
      <c r="L533" s="170" t="s">
        <v>76</v>
      </c>
      <c r="M533" s="170" t="s">
        <v>40</v>
      </c>
      <c r="N533" s="181">
        <v>66.78</v>
      </c>
      <c r="O533" s="170">
        <v>18.82</v>
      </c>
      <c r="P533" s="173">
        <f t="shared" si="40"/>
        <v>47.96</v>
      </c>
      <c r="Q533" s="174">
        <v>335</v>
      </c>
      <c r="R533" s="175">
        <f t="shared" si="41"/>
        <v>16066.6</v>
      </c>
      <c r="S533" s="174"/>
      <c r="T533" s="176"/>
      <c r="V533" s="176" t="s">
        <v>24</v>
      </c>
      <c r="W533" s="174">
        <v>145</v>
      </c>
      <c r="X533" s="177">
        <f t="shared" si="42"/>
        <v>6954.2</v>
      </c>
      <c r="Y533" s="178">
        <v>260</v>
      </c>
      <c r="Z533" s="178">
        <f t="shared" si="43"/>
        <v>12469.6</v>
      </c>
      <c r="AA533" s="176">
        <f t="shared" si="44"/>
        <v>35490.400000000001</v>
      </c>
    </row>
    <row r="534" spans="1:27" s="179" customFormat="1" ht="15.75">
      <c r="A534" s="32">
        <v>531</v>
      </c>
      <c r="B534" s="168">
        <v>45951</v>
      </c>
      <c r="C534" s="168">
        <v>45951</v>
      </c>
      <c r="D534" s="169">
        <v>251021027</v>
      </c>
      <c r="E534" s="170" t="s">
        <v>1306</v>
      </c>
      <c r="F534" s="170" t="s">
        <v>1307</v>
      </c>
      <c r="G534" s="170">
        <v>46</v>
      </c>
      <c r="H534" s="191">
        <v>24</v>
      </c>
      <c r="I534" s="184" t="s">
        <v>37</v>
      </c>
      <c r="J534" s="35" t="s">
        <v>23</v>
      </c>
      <c r="K534" s="36" t="s">
        <v>38</v>
      </c>
      <c r="L534" s="170" t="s">
        <v>236</v>
      </c>
      <c r="M534" s="170" t="s">
        <v>40</v>
      </c>
      <c r="N534" s="170">
        <v>65.88</v>
      </c>
      <c r="O534" s="170">
        <v>18.260000000000002</v>
      </c>
      <c r="P534" s="173">
        <f t="shared" si="40"/>
        <v>47.61999999999999</v>
      </c>
      <c r="Q534" s="174">
        <v>335</v>
      </c>
      <c r="R534" s="175">
        <f t="shared" si="41"/>
        <v>15952.699999999997</v>
      </c>
      <c r="S534" s="174"/>
      <c r="T534" s="176"/>
      <c r="V534" s="176" t="s">
        <v>24</v>
      </c>
      <c r="W534" s="174">
        <v>145</v>
      </c>
      <c r="X534" s="177">
        <f t="shared" si="42"/>
        <v>6904.8999999999987</v>
      </c>
      <c r="Y534" s="178">
        <v>260</v>
      </c>
      <c r="Z534" s="178">
        <f t="shared" si="43"/>
        <v>12381.199999999997</v>
      </c>
      <c r="AA534" s="176">
        <f t="shared" si="44"/>
        <v>35238.799999999988</v>
      </c>
    </row>
    <row r="535" spans="1:27" s="179" customFormat="1" ht="15.75">
      <c r="A535" s="32">
        <v>532</v>
      </c>
      <c r="B535" s="168">
        <v>45951</v>
      </c>
      <c r="C535" s="168">
        <v>45951</v>
      </c>
      <c r="D535" s="169">
        <v>251021028</v>
      </c>
      <c r="E535" s="170" t="s">
        <v>1308</v>
      </c>
      <c r="F535" s="170" t="s">
        <v>1309</v>
      </c>
      <c r="G535" s="170">
        <v>42</v>
      </c>
      <c r="H535" s="191">
        <v>24</v>
      </c>
      <c r="I535" s="184" t="s">
        <v>37</v>
      </c>
      <c r="J535" s="35" t="s">
        <v>23</v>
      </c>
      <c r="K535" s="36" t="s">
        <v>38</v>
      </c>
      <c r="L535" s="170" t="s">
        <v>51</v>
      </c>
      <c r="M535" s="170" t="s">
        <v>40</v>
      </c>
      <c r="N535" s="170">
        <v>58.74</v>
      </c>
      <c r="O535" s="170">
        <v>15.34</v>
      </c>
      <c r="P535" s="173">
        <f t="shared" si="40"/>
        <v>43.400000000000006</v>
      </c>
      <c r="Q535" s="174">
        <v>335</v>
      </c>
      <c r="R535" s="175">
        <f t="shared" si="41"/>
        <v>14539.000000000002</v>
      </c>
      <c r="S535" s="174"/>
      <c r="T535" s="176"/>
      <c r="V535" s="176" t="s">
        <v>24</v>
      </c>
      <c r="W535" s="174">
        <v>145</v>
      </c>
      <c r="X535" s="177">
        <f t="shared" si="42"/>
        <v>6293.0000000000009</v>
      </c>
      <c r="Y535" s="178">
        <v>260</v>
      </c>
      <c r="Z535" s="176">
        <f t="shared" si="43"/>
        <v>11284.000000000002</v>
      </c>
      <c r="AA535" s="176">
        <f t="shared" si="44"/>
        <v>32116.000000000007</v>
      </c>
    </row>
    <row r="536" spans="1:27" s="179" customFormat="1" ht="15.75">
      <c r="A536" s="32">
        <v>533</v>
      </c>
      <c r="B536" s="168">
        <v>45951</v>
      </c>
      <c r="C536" s="168">
        <v>45951</v>
      </c>
      <c r="D536" s="169">
        <v>251021029</v>
      </c>
      <c r="E536" s="170" t="s">
        <v>1310</v>
      </c>
      <c r="F536" s="170" t="s">
        <v>1311</v>
      </c>
      <c r="G536" s="170">
        <v>48</v>
      </c>
      <c r="H536" s="183">
        <v>115</v>
      </c>
      <c r="I536" s="184" t="s">
        <v>46</v>
      </c>
      <c r="J536" s="185" t="s">
        <v>23</v>
      </c>
      <c r="K536" s="186" t="s">
        <v>38</v>
      </c>
      <c r="L536" s="170" t="s">
        <v>54</v>
      </c>
      <c r="M536" s="170" t="s">
        <v>48</v>
      </c>
      <c r="N536" s="170">
        <v>66.260000000000005</v>
      </c>
      <c r="O536" s="170">
        <v>16.98</v>
      </c>
      <c r="P536" s="173">
        <f t="shared" si="40"/>
        <v>49.28</v>
      </c>
      <c r="Q536" s="174">
        <v>545</v>
      </c>
      <c r="R536" s="175">
        <f t="shared" si="41"/>
        <v>26857.600000000002</v>
      </c>
      <c r="S536" s="174"/>
      <c r="T536" s="176"/>
      <c r="V536" s="176" t="s">
        <v>24</v>
      </c>
      <c r="W536" s="174">
        <v>145</v>
      </c>
      <c r="X536" s="177">
        <f t="shared" si="42"/>
        <v>7145.6</v>
      </c>
      <c r="Y536" s="178">
        <v>260</v>
      </c>
      <c r="Z536" s="176">
        <f t="shared" si="43"/>
        <v>12812.800000000001</v>
      </c>
      <c r="AA536" s="176">
        <f t="shared" si="44"/>
        <v>46816.000000000007</v>
      </c>
    </row>
    <row r="537" spans="1:27" s="179" customFormat="1" ht="15.75">
      <c r="A537" s="32">
        <v>534</v>
      </c>
      <c r="B537" s="168">
        <v>45951</v>
      </c>
      <c r="C537" s="168">
        <v>45951</v>
      </c>
      <c r="D537" s="169">
        <v>251021030</v>
      </c>
      <c r="E537" s="170" t="s">
        <v>1312</v>
      </c>
      <c r="F537" s="170" t="s">
        <v>1313</v>
      </c>
      <c r="G537" s="170">
        <v>51</v>
      </c>
      <c r="H537" s="183">
        <v>115</v>
      </c>
      <c r="I537" s="184" t="s">
        <v>46</v>
      </c>
      <c r="J537" s="185" t="s">
        <v>23</v>
      </c>
      <c r="K537" s="186" t="s">
        <v>38</v>
      </c>
      <c r="L537" s="170" t="s">
        <v>58</v>
      </c>
      <c r="M537" s="170" t="s">
        <v>55</v>
      </c>
      <c r="N537" s="170">
        <v>68.959999999999994</v>
      </c>
      <c r="O537" s="170">
        <v>16.22</v>
      </c>
      <c r="P537" s="173">
        <f t="shared" si="40"/>
        <v>52.739999999999995</v>
      </c>
      <c r="Q537" s="174">
        <v>445</v>
      </c>
      <c r="R537" s="175">
        <f t="shared" si="41"/>
        <v>23469.3</v>
      </c>
      <c r="S537" s="174"/>
      <c r="T537" s="176"/>
      <c r="V537" s="176" t="s">
        <v>24</v>
      </c>
      <c r="W537" s="174">
        <v>145</v>
      </c>
      <c r="X537" s="177">
        <f t="shared" si="42"/>
        <v>7647.2999999999993</v>
      </c>
      <c r="Y537" s="178">
        <v>260</v>
      </c>
      <c r="Z537" s="178">
        <f t="shared" si="43"/>
        <v>13712.399999999998</v>
      </c>
      <c r="AA537" s="176">
        <f t="shared" si="44"/>
        <v>44829</v>
      </c>
    </row>
    <row r="538" spans="1:27" s="179" customFormat="1" ht="15.75">
      <c r="A538" s="32">
        <v>535</v>
      </c>
      <c r="B538" s="168">
        <v>45951</v>
      </c>
      <c r="C538" s="168">
        <v>45951</v>
      </c>
      <c r="D538" s="169">
        <v>251021031</v>
      </c>
      <c r="E538" s="170" t="s">
        <v>1314</v>
      </c>
      <c r="F538" s="170" t="s">
        <v>1315</v>
      </c>
      <c r="G538" s="170">
        <v>42</v>
      </c>
      <c r="H538" s="183">
        <v>115</v>
      </c>
      <c r="I538" s="184" t="s">
        <v>46</v>
      </c>
      <c r="J538" s="185" t="s">
        <v>23</v>
      </c>
      <c r="K538" s="186" t="s">
        <v>38</v>
      </c>
      <c r="L538" s="170" t="s">
        <v>1316</v>
      </c>
      <c r="M538" s="170" t="s">
        <v>48</v>
      </c>
      <c r="N538" s="181">
        <v>59.66</v>
      </c>
      <c r="O538" s="181">
        <v>15.88</v>
      </c>
      <c r="P538" s="173">
        <f t="shared" si="40"/>
        <v>43.779999999999994</v>
      </c>
      <c r="Q538" s="174">
        <v>545</v>
      </c>
      <c r="R538" s="175">
        <f t="shared" si="41"/>
        <v>23860.1</v>
      </c>
      <c r="S538" s="174"/>
      <c r="T538" s="176"/>
      <c r="V538" s="176" t="s">
        <v>24</v>
      </c>
      <c r="W538" s="174">
        <v>145</v>
      </c>
      <c r="X538" s="177">
        <f t="shared" si="42"/>
        <v>6348.0999999999995</v>
      </c>
      <c r="Y538" s="178">
        <v>260</v>
      </c>
      <c r="Z538" s="178">
        <f t="shared" si="43"/>
        <v>11382.8</v>
      </c>
      <c r="AA538" s="176">
        <f t="shared" si="44"/>
        <v>41591</v>
      </c>
    </row>
    <row r="539" spans="1:27" s="179" customFormat="1" ht="15.75">
      <c r="A539" s="32">
        <v>536</v>
      </c>
      <c r="B539" s="168">
        <v>45951</v>
      </c>
      <c r="C539" s="168">
        <v>45951</v>
      </c>
      <c r="D539" s="169">
        <v>251021032</v>
      </c>
      <c r="E539" s="170" t="s">
        <v>1317</v>
      </c>
      <c r="F539" s="170" t="s">
        <v>1318</v>
      </c>
      <c r="G539" s="170">
        <v>51</v>
      </c>
      <c r="H539" s="183">
        <v>115</v>
      </c>
      <c r="I539" s="184" t="s">
        <v>46</v>
      </c>
      <c r="J539" s="185" t="s">
        <v>23</v>
      </c>
      <c r="K539" s="186" t="s">
        <v>38</v>
      </c>
      <c r="L539" s="169" t="s">
        <v>404</v>
      </c>
      <c r="M539" s="170" t="s">
        <v>55</v>
      </c>
      <c r="N539" s="170">
        <v>71.02</v>
      </c>
      <c r="O539" s="181">
        <v>18.22</v>
      </c>
      <c r="P539" s="173">
        <f t="shared" si="40"/>
        <v>52.8</v>
      </c>
      <c r="Q539" s="174">
        <v>445</v>
      </c>
      <c r="R539" s="175">
        <f t="shared" si="41"/>
        <v>23496</v>
      </c>
      <c r="S539" s="174"/>
      <c r="T539" s="176"/>
      <c r="V539" s="176" t="s">
        <v>24</v>
      </c>
      <c r="W539" s="174">
        <v>145</v>
      </c>
      <c r="X539" s="177">
        <f t="shared" si="42"/>
        <v>7656</v>
      </c>
      <c r="Y539" s="178">
        <v>260</v>
      </c>
      <c r="Z539" s="178">
        <f t="shared" si="43"/>
        <v>13728</v>
      </c>
      <c r="AA539" s="176">
        <f t="shared" si="44"/>
        <v>44880</v>
      </c>
    </row>
    <row r="540" spans="1:27" s="182" customFormat="1" ht="15.75">
      <c r="A540" s="32">
        <v>537</v>
      </c>
      <c r="B540" s="168">
        <v>45951</v>
      </c>
      <c r="C540" s="168">
        <v>45951</v>
      </c>
      <c r="D540" s="169">
        <v>251021033</v>
      </c>
      <c r="E540" s="170" t="s">
        <v>1319</v>
      </c>
      <c r="F540" s="170" t="s">
        <v>1320</v>
      </c>
      <c r="G540" s="170">
        <v>51</v>
      </c>
      <c r="H540" s="183">
        <v>115</v>
      </c>
      <c r="I540" s="184" t="s">
        <v>46</v>
      </c>
      <c r="J540" s="185" t="s">
        <v>23</v>
      </c>
      <c r="K540" s="186" t="s">
        <v>38</v>
      </c>
      <c r="L540" s="169" t="s">
        <v>1321</v>
      </c>
      <c r="M540" s="170" t="s">
        <v>55</v>
      </c>
      <c r="N540" s="170">
        <v>70.819999999999993</v>
      </c>
      <c r="O540" s="170">
        <v>17.940000000000001</v>
      </c>
      <c r="P540" s="173">
        <f t="shared" si="40"/>
        <v>52.879999999999995</v>
      </c>
      <c r="Q540" s="174">
        <v>445</v>
      </c>
      <c r="R540" s="175">
        <f t="shared" si="41"/>
        <v>23531.599999999999</v>
      </c>
      <c r="S540" s="174"/>
      <c r="T540" s="176"/>
      <c r="V540" s="176" t="s">
        <v>24</v>
      </c>
      <c r="W540" s="174">
        <v>145</v>
      </c>
      <c r="X540" s="177">
        <f t="shared" si="42"/>
        <v>7667.5999999999995</v>
      </c>
      <c r="Y540" s="178">
        <v>260</v>
      </c>
      <c r="Z540" s="178">
        <f t="shared" si="43"/>
        <v>13748.8</v>
      </c>
      <c r="AA540" s="176">
        <f t="shared" si="44"/>
        <v>44948</v>
      </c>
    </row>
    <row r="541" spans="1:27" s="179" customFormat="1" ht="15.75">
      <c r="A541" s="32">
        <v>538</v>
      </c>
      <c r="B541" s="168">
        <v>45951</v>
      </c>
      <c r="C541" s="168">
        <v>45951</v>
      </c>
      <c r="D541" s="169">
        <v>251021034</v>
      </c>
      <c r="E541" s="170" t="s">
        <v>1322</v>
      </c>
      <c r="F541" s="170" t="s">
        <v>1323</v>
      </c>
      <c r="G541" s="170">
        <v>42</v>
      </c>
      <c r="H541" s="183">
        <v>115</v>
      </c>
      <c r="I541" s="184" t="s">
        <v>46</v>
      </c>
      <c r="J541" s="185" t="s">
        <v>23</v>
      </c>
      <c r="K541" s="186" t="s">
        <v>38</v>
      </c>
      <c r="L541" s="169" t="s">
        <v>134</v>
      </c>
      <c r="M541" s="170" t="s">
        <v>40</v>
      </c>
      <c r="N541" s="170">
        <v>59.16</v>
      </c>
      <c r="O541" s="170">
        <v>15.62</v>
      </c>
      <c r="P541" s="173">
        <f t="shared" si="40"/>
        <v>43.54</v>
      </c>
      <c r="Q541" s="174">
        <v>315</v>
      </c>
      <c r="R541" s="175">
        <f t="shared" si="41"/>
        <v>13715.1</v>
      </c>
      <c r="S541" s="174"/>
      <c r="T541" s="176"/>
      <c r="V541" s="176" t="s">
        <v>24</v>
      </c>
      <c r="W541" s="170">
        <v>145</v>
      </c>
      <c r="X541" s="177">
        <f t="shared" si="42"/>
        <v>6313.3</v>
      </c>
      <c r="Y541" s="178">
        <v>260</v>
      </c>
      <c r="Z541" s="178">
        <f t="shared" si="43"/>
        <v>11320.4</v>
      </c>
      <c r="AA541" s="176">
        <f t="shared" si="44"/>
        <v>31348.800000000003</v>
      </c>
    </row>
    <row r="542" spans="1:27" s="179" customFormat="1" ht="15.75">
      <c r="A542" s="32">
        <v>539</v>
      </c>
      <c r="B542" s="168">
        <v>45951</v>
      </c>
      <c r="C542" s="168">
        <v>45951</v>
      </c>
      <c r="D542" s="169">
        <v>251021035</v>
      </c>
      <c r="E542" s="170" t="s">
        <v>1324</v>
      </c>
      <c r="F542" s="170" t="s">
        <v>1325</v>
      </c>
      <c r="G542" s="170">
        <v>42</v>
      </c>
      <c r="H542" s="183">
        <v>115</v>
      </c>
      <c r="I542" s="184" t="s">
        <v>46</v>
      </c>
      <c r="J542" s="185" t="s">
        <v>23</v>
      </c>
      <c r="K542" s="186" t="s">
        <v>38</v>
      </c>
      <c r="L542" s="170" t="s">
        <v>1326</v>
      </c>
      <c r="M542" s="170" t="s">
        <v>40</v>
      </c>
      <c r="N542" s="170">
        <v>61.34</v>
      </c>
      <c r="O542" s="170">
        <v>17.8</v>
      </c>
      <c r="P542" s="173">
        <f t="shared" si="40"/>
        <v>43.540000000000006</v>
      </c>
      <c r="Q542" s="174">
        <v>315</v>
      </c>
      <c r="R542" s="175">
        <f t="shared" si="41"/>
        <v>13715.100000000002</v>
      </c>
      <c r="S542" s="174"/>
      <c r="T542" s="176"/>
      <c r="V542" s="176" t="s">
        <v>24</v>
      </c>
      <c r="W542" s="170">
        <v>145</v>
      </c>
      <c r="X542" s="177">
        <f t="shared" si="42"/>
        <v>6313.3000000000011</v>
      </c>
      <c r="Y542" s="178">
        <v>260</v>
      </c>
      <c r="Z542" s="178">
        <f t="shared" si="43"/>
        <v>11320.400000000001</v>
      </c>
      <c r="AA542" s="176">
        <f t="shared" si="44"/>
        <v>31348.800000000003</v>
      </c>
    </row>
    <row r="543" spans="1:27" s="179" customFormat="1" ht="15.75">
      <c r="A543" s="32">
        <v>540</v>
      </c>
      <c r="B543" s="168">
        <v>45951</v>
      </c>
      <c r="C543" s="168">
        <v>45952</v>
      </c>
      <c r="D543" s="169">
        <v>251022001</v>
      </c>
      <c r="E543" s="170" t="s">
        <v>1327</v>
      </c>
      <c r="F543" s="170" t="s">
        <v>1328</v>
      </c>
      <c r="G543" s="170">
        <v>44</v>
      </c>
      <c r="H543" s="183">
        <v>115</v>
      </c>
      <c r="I543" s="184" t="s">
        <v>46</v>
      </c>
      <c r="J543" s="185" t="s">
        <v>23</v>
      </c>
      <c r="K543" s="186" t="s">
        <v>38</v>
      </c>
      <c r="L543" s="170" t="s">
        <v>116</v>
      </c>
      <c r="M543" s="170" t="s">
        <v>40</v>
      </c>
      <c r="N543" s="170">
        <v>60.38</v>
      </c>
      <c r="O543" s="170">
        <v>14.98</v>
      </c>
      <c r="P543" s="173">
        <f t="shared" si="40"/>
        <v>45.400000000000006</v>
      </c>
      <c r="Q543" s="174">
        <v>315</v>
      </c>
      <c r="R543" s="175">
        <f t="shared" si="41"/>
        <v>14301.000000000002</v>
      </c>
      <c r="S543" s="174"/>
      <c r="T543" s="176"/>
      <c r="V543" s="176" t="s">
        <v>24</v>
      </c>
      <c r="W543" s="170">
        <v>145</v>
      </c>
      <c r="X543" s="177">
        <f t="shared" si="42"/>
        <v>6583.0000000000009</v>
      </c>
      <c r="Y543" s="178">
        <v>260</v>
      </c>
      <c r="Z543" s="178">
        <f t="shared" si="43"/>
        <v>11804.000000000002</v>
      </c>
      <c r="AA543" s="176">
        <f t="shared" si="44"/>
        <v>32688.000000000007</v>
      </c>
    </row>
    <row r="544" spans="1:27" s="179" customFormat="1" ht="15.75">
      <c r="A544" s="32">
        <v>541</v>
      </c>
      <c r="B544" s="168">
        <v>45951</v>
      </c>
      <c r="C544" s="168">
        <v>45952</v>
      </c>
      <c r="D544" s="169">
        <v>251022002</v>
      </c>
      <c r="E544" s="170" t="s">
        <v>1329</v>
      </c>
      <c r="F544" s="170" t="s">
        <v>1330</v>
      </c>
      <c r="G544" s="170">
        <v>32</v>
      </c>
      <c r="H544" s="183">
        <v>115</v>
      </c>
      <c r="I544" s="184" t="s">
        <v>46</v>
      </c>
      <c r="J544" s="185" t="s">
        <v>23</v>
      </c>
      <c r="K544" s="186" t="s">
        <v>38</v>
      </c>
      <c r="L544" s="170" t="s">
        <v>110</v>
      </c>
      <c r="M544" s="170" t="s">
        <v>40</v>
      </c>
      <c r="N544" s="170">
        <v>45.2</v>
      </c>
      <c r="O544" s="170">
        <v>11.69</v>
      </c>
      <c r="P544" s="173">
        <f t="shared" si="40"/>
        <v>33.510000000000005</v>
      </c>
      <c r="Q544" s="174">
        <v>315</v>
      </c>
      <c r="R544" s="175">
        <f t="shared" si="41"/>
        <v>10555.650000000001</v>
      </c>
      <c r="S544" s="174"/>
      <c r="T544" s="176"/>
      <c r="V544" s="176" t="s">
        <v>1272</v>
      </c>
      <c r="W544" s="170">
        <v>145</v>
      </c>
      <c r="X544" s="177">
        <f t="shared" si="42"/>
        <v>4858.9500000000007</v>
      </c>
      <c r="Y544" s="178">
        <v>260</v>
      </c>
      <c r="Z544" s="178">
        <f t="shared" si="43"/>
        <v>8712.6000000000022</v>
      </c>
      <c r="AA544" s="176">
        <f t="shared" si="44"/>
        <v>24127.200000000004</v>
      </c>
    </row>
    <row r="545" spans="1:38" s="182" customFormat="1" ht="15.75">
      <c r="A545" s="32">
        <v>542</v>
      </c>
      <c r="B545" s="168">
        <v>45951</v>
      </c>
      <c r="C545" s="168">
        <v>45952</v>
      </c>
      <c r="D545" s="169">
        <v>251022003</v>
      </c>
      <c r="E545" s="170" t="s">
        <v>1331</v>
      </c>
      <c r="F545" s="170" t="s">
        <v>1332</v>
      </c>
      <c r="G545" s="170">
        <v>31</v>
      </c>
      <c r="H545" s="183">
        <v>115</v>
      </c>
      <c r="I545" s="184" t="s">
        <v>46</v>
      </c>
      <c r="J545" s="185" t="s">
        <v>23</v>
      </c>
      <c r="K545" s="186" t="s">
        <v>38</v>
      </c>
      <c r="L545" s="170" t="s">
        <v>342</v>
      </c>
      <c r="M545" s="170" t="s">
        <v>40</v>
      </c>
      <c r="N545" s="170">
        <v>42.99</v>
      </c>
      <c r="O545" s="170">
        <v>11.04</v>
      </c>
      <c r="P545" s="173">
        <f t="shared" si="40"/>
        <v>31.950000000000003</v>
      </c>
      <c r="Q545" s="174">
        <v>315</v>
      </c>
      <c r="R545" s="175">
        <f t="shared" si="41"/>
        <v>10064.25</v>
      </c>
      <c r="S545" s="174"/>
      <c r="T545" s="176"/>
      <c r="V545" s="176" t="s">
        <v>1272</v>
      </c>
      <c r="W545" s="170">
        <v>145</v>
      </c>
      <c r="X545" s="177">
        <f t="shared" si="42"/>
        <v>4632.75</v>
      </c>
      <c r="Y545" s="178">
        <v>260</v>
      </c>
      <c r="Z545" s="178">
        <f t="shared" si="43"/>
        <v>8307</v>
      </c>
      <c r="AA545" s="176">
        <f t="shared" si="44"/>
        <v>23004</v>
      </c>
    </row>
    <row r="546" spans="1:38" s="179" customFormat="1" ht="15.75">
      <c r="A546" s="32">
        <v>543</v>
      </c>
      <c r="B546" s="168">
        <v>45951</v>
      </c>
      <c r="C546" s="168">
        <v>45952</v>
      </c>
      <c r="D546" s="169">
        <v>251022004</v>
      </c>
      <c r="E546" s="170" t="s">
        <v>1333</v>
      </c>
      <c r="F546" s="170" t="s">
        <v>1334</v>
      </c>
      <c r="G546" s="170">
        <v>31</v>
      </c>
      <c r="H546" s="191">
        <v>84</v>
      </c>
      <c r="I546" s="196" t="s">
        <v>1009</v>
      </c>
      <c r="J546" s="35" t="s">
        <v>23</v>
      </c>
      <c r="K546" s="36" t="s">
        <v>38</v>
      </c>
      <c r="L546" s="170" t="s">
        <v>39</v>
      </c>
      <c r="M546" s="170" t="s">
        <v>40</v>
      </c>
      <c r="N546" s="174">
        <v>42.8</v>
      </c>
      <c r="O546" s="174">
        <v>10.56</v>
      </c>
      <c r="P546" s="173">
        <f t="shared" si="40"/>
        <v>32.239999999999995</v>
      </c>
      <c r="Q546" s="174">
        <v>305</v>
      </c>
      <c r="R546" s="175">
        <f t="shared" si="41"/>
        <v>9833.1999999999989</v>
      </c>
      <c r="S546" s="174"/>
      <c r="T546" s="176"/>
      <c r="V546" s="176" t="s">
        <v>24</v>
      </c>
      <c r="W546" s="170">
        <v>145</v>
      </c>
      <c r="X546" s="177">
        <f t="shared" si="42"/>
        <v>4674.7999999999993</v>
      </c>
      <c r="Y546" s="178">
        <v>210</v>
      </c>
      <c r="Z546" s="178">
        <f t="shared" si="43"/>
        <v>6770.3999999999987</v>
      </c>
      <c r="AA546" s="176">
        <f t="shared" si="44"/>
        <v>21278.399999999998</v>
      </c>
    </row>
    <row r="547" spans="1:38" s="182" customFormat="1" ht="15.75">
      <c r="A547" s="32">
        <v>544</v>
      </c>
      <c r="B547" s="168">
        <v>45951</v>
      </c>
      <c r="C547" s="168">
        <v>45952</v>
      </c>
      <c r="D547" s="169">
        <v>251022005</v>
      </c>
      <c r="E547" s="170" t="s">
        <v>1335</v>
      </c>
      <c r="F547" s="170" t="s">
        <v>1336</v>
      </c>
      <c r="G547" s="170">
        <v>43</v>
      </c>
      <c r="H547" s="191">
        <v>84</v>
      </c>
      <c r="I547" s="196" t="s">
        <v>1009</v>
      </c>
      <c r="J547" s="35" t="s">
        <v>23</v>
      </c>
      <c r="K547" s="36" t="s">
        <v>38</v>
      </c>
      <c r="L547" s="197" t="s">
        <v>904</v>
      </c>
      <c r="M547" s="170" t="s">
        <v>40</v>
      </c>
      <c r="N547" s="174">
        <v>59.64</v>
      </c>
      <c r="O547" s="174">
        <v>15.46</v>
      </c>
      <c r="P547" s="173">
        <f t="shared" si="40"/>
        <v>44.18</v>
      </c>
      <c r="Q547" s="174">
        <v>305</v>
      </c>
      <c r="R547" s="175">
        <f t="shared" si="41"/>
        <v>13474.9</v>
      </c>
      <c r="S547" s="174"/>
      <c r="T547" s="176"/>
      <c r="V547" s="176" t="s">
        <v>24</v>
      </c>
      <c r="W547" s="170">
        <v>145</v>
      </c>
      <c r="X547" s="177">
        <f t="shared" si="42"/>
        <v>6406.1</v>
      </c>
      <c r="Y547" s="178">
        <v>210</v>
      </c>
      <c r="Z547" s="178">
        <f t="shared" si="43"/>
        <v>9277.7999999999993</v>
      </c>
      <c r="AA547" s="176">
        <f t="shared" si="44"/>
        <v>29158.799999999999</v>
      </c>
    </row>
    <row r="548" spans="1:38" s="179" customFormat="1" ht="15.75">
      <c r="A548" s="32">
        <v>545</v>
      </c>
      <c r="B548" s="168">
        <v>45951</v>
      </c>
      <c r="C548" s="168">
        <v>45952</v>
      </c>
      <c r="D548" s="169">
        <v>251022006</v>
      </c>
      <c r="E548" s="170" t="s">
        <v>1337</v>
      </c>
      <c r="F548" s="170" t="s">
        <v>1338</v>
      </c>
      <c r="G548" s="170">
        <v>40</v>
      </c>
      <c r="H548" s="191">
        <v>84</v>
      </c>
      <c r="I548" s="196" t="s">
        <v>1009</v>
      </c>
      <c r="J548" s="35" t="s">
        <v>23</v>
      </c>
      <c r="K548" s="36" t="s">
        <v>38</v>
      </c>
      <c r="L548" s="198" t="s">
        <v>393</v>
      </c>
      <c r="M548" s="198" t="s">
        <v>48</v>
      </c>
      <c r="N548" s="199">
        <v>55.98</v>
      </c>
      <c r="O548" s="199">
        <v>14.46</v>
      </c>
      <c r="P548" s="173">
        <f t="shared" si="40"/>
        <v>41.519999999999996</v>
      </c>
      <c r="Q548" s="199">
        <v>515</v>
      </c>
      <c r="R548" s="175">
        <f t="shared" si="41"/>
        <v>21382.799999999999</v>
      </c>
      <c r="S548" s="199"/>
      <c r="T548" s="176"/>
      <c r="V548" s="176" t="s">
        <v>24</v>
      </c>
      <c r="W548" s="170">
        <v>145</v>
      </c>
      <c r="X548" s="177">
        <f t="shared" si="42"/>
        <v>6020.4</v>
      </c>
      <c r="Y548" s="178">
        <v>210</v>
      </c>
      <c r="Z548" s="178">
        <f t="shared" si="43"/>
        <v>8719.1999999999989</v>
      </c>
      <c r="AA548" s="176">
        <f t="shared" si="44"/>
        <v>36122.399999999994</v>
      </c>
    </row>
    <row r="549" spans="1:38" s="179" customFormat="1" ht="15.75">
      <c r="A549" s="32">
        <v>546</v>
      </c>
      <c r="B549" s="168">
        <v>45951</v>
      </c>
      <c r="C549" s="168">
        <v>45952</v>
      </c>
      <c r="D549" s="169">
        <v>251022007</v>
      </c>
      <c r="E549" s="170" t="s">
        <v>1339</v>
      </c>
      <c r="F549" s="170" t="s">
        <v>1340</v>
      </c>
      <c r="G549" s="170">
        <v>39</v>
      </c>
      <c r="H549" s="183">
        <v>115</v>
      </c>
      <c r="I549" s="184" t="s">
        <v>46</v>
      </c>
      <c r="J549" s="185" t="s">
        <v>23</v>
      </c>
      <c r="K549" s="186" t="s">
        <v>38</v>
      </c>
      <c r="L549" s="198" t="s">
        <v>113</v>
      </c>
      <c r="M549" s="170" t="s">
        <v>55</v>
      </c>
      <c r="N549" s="199">
        <v>52.06</v>
      </c>
      <c r="O549" s="199">
        <v>11.84</v>
      </c>
      <c r="P549" s="173">
        <f t="shared" si="40"/>
        <v>40.22</v>
      </c>
      <c r="Q549" s="199">
        <v>445</v>
      </c>
      <c r="R549" s="175">
        <f t="shared" si="41"/>
        <v>17897.899999999998</v>
      </c>
      <c r="S549" s="199"/>
      <c r="T549" s="176"/>
      <c r="V549" s="176" t="s">
        <v>24</v>
      </c>
      <c r="W549" s="170">
        <v>145</v>
      </c>
      <c r="X549" s="177">
        <f t="shared" si="42"/>
        <v>5831.9</v>
      </c>
      <c r="Y549" s="178">
        <v>260</v>
      </c>
      <c r="Z549" s="178">
        <f t="shared" si="43"/>
        <v>10457.199999999999</v>
      </c>
      <c r="AA549" s="176">
        <f t="shared" si="44"/>
        <v>34186.999999999993</v>
      </c>
    </row>
    <row r="550" spans="1:38" s="179" customFormat="1" ht="15.75">
      <c r="A550" s="32">
        <v>547</v>
      </c>
      <c r="B550" s="168">
        <v>45951</v>
      </c>
      <c r="C550" s="168">
        <v>45952</v>
      </c>
      <c r="D550" s="169">
        <v>251022008</v>
      </c>
      <c r="E550" s="170" t="s">
        <v>1341</v>
      </c>
      <c r="F550" s="170" t="s">
        <v>1342</v>
      </c>
      <c r="G550" s="198">
        <v>44</v>
      </c>
      <c r="H550" s="183">
        <v>115</v>
      </c>
      <c r="I550" s="184" t="s">
        <v>46</v>
      </c>
      <c r="J550" s="185" t="s">
        <v>23</v>
      </c>
      <c r="K550" s="186" t="s">
        <v>38</v>
      </c>
      <c r="L550" s="198" t="s">
        <v>82</v>
      </c>
      <c r="M550" s="198" t="s">
        <v>48</v>
      </c>
      <c r="N550" s="199">
        <v>60.44</v>
      </c>
      <c r="O550" s="199">
        <v>15</v>
      </c>
      <c r="P550" s="173">
        <f t="shared" si="40"/>
        <v>45.44</v>
      </c>
      <c r="Q550" s="199">
        <v>545</v>
      </c>
      <c r="R550" s="175">
        <f t="shared" si="41"/>
        <v>24764.799999999999</v>
      </c>
      <c r="S550" s="199"/>
      <c r="T550" s="176"/>
      <c r="V550" s="176" t="s">
        <v>24</v>
      </c>
      <c r="W550" s="170">
        <v>145</v>
      </c>
      <c r="X550" s="177">
        <f t="shared" si="42"/>
        <v>6588.7999999999993</v>
      </c>
      <c r="Y550" s="178">
        <v>260</v>
      </c>
      <c r="Z550" s="178">
        <f t="shared" si="43"/>
        <v>11814.4</v>
      </c>
      <c r="AA550" s="176">
        <f t="shared" si="44"/>
        <v>43168</v>
      </c>
    </row>
    <row r="551" spans="1:38" s="179" customFormat="1" ht="15.75">
      <c r="A551" s="32">
        <v>548</v>
      </c>
      <c r="B551" s="168">
        <v>45951</v>
      </c>
      <c r="C551" s="168">
        <v>45952</v>
      </c>
      <c r="D551" s="169">
        <v>251022009</v>
      </c>
      <c r="E551" s="170" t="s">
        <v>1343</v>
      </c>
      <c r="F551" s="170" t="s">
        <v>1344</v>
      </c>
      <c r="G551" s="198">
        <v>42</v>
      </c>
      <c r="H551" s="183">
        <v>115</v>
      </c>
      <c r="I551" s="184" t="s">
        <v>46</v>
      </c>
      <c r="J551" s="185" t="s">
        <v>23</v>
      </c>
      <c r="K551" s="186" t="s">
        <v>38</v>
      </c>
      <c r="L551" s="198" t="s">
        <v>47</v>
      </c>
      <c r="M551" s="198" t="s">
        <v>40</v>
      </c>
      <c r="N551" s="199">
        <v>59.62</v>
      </c>
      <c r="O551" s="199">
        <v>15.8</v>
      </c>
      <c r="P551" s="173">
        <f t="shared" si="40"/>
        <v>43.819999999999993</v>
      </c>
      <c r="Q551" s="199">
        <v>315</v>
      </c>
      <c r="R551" s="175">
        <f t="shared" si="41"/>
        <v>13803.299999999997</v>
      </c>
      <c r="S551" s="199"/>
      <c r="T551" s="176"/>
      <c r="V551" s="176" t="s">
        <v>24</v>
      </c>
      <c r="W551" s="170">
        <v>145</v>
      </c>
      <c r="X551" s="200">
        <f t="shared" si="42"/>
        <v>6353.8999999999987</v>
      </c>
      <c r="Y551" s="178">
        <v>260</v>
      </c>
      <c r="Z551" s="176">
        <f t="shared" si="43"/>
        <v>11393.199999999999</v>
      </c>
      <c r="AA551" s="176">
        <f t="shared" si="44"/>
        <v>31550.399999999994</v>
      </c>
    </row>
    <row r="552" spans="1:38" s="179" customFormat="1" ht="15.75">
      <c r="A552" s="32">
        <v>549</v>
      </c>
      <c r="B552" s="168">
        <v>45951</v>
      </c>
      <c r="C552" s="168">
        <v>45952</v>
      </c>
      <c r="D552" s="169">
        <v>251022010</v>
      </c>
      <c r="E552" s="170" t="s">
        <v>1345</v>
      </c>
      <c r="F552" s="170" t="s">
        <v>1346</v>
      </c>
      <c r="G552" s="198">
        <v>49</v>
      </c>
      <c r="H552" s="183">
        <v>115</v>
      </c>
      <c r="I552" s="184" t="s">
        <v>46</v>
      </c>
      <c r="J552" s="185" t="s">
        <v>23</v>
      </c>
      <c r="K552" s="186" t="s">
        <v>38</v>
      </c>
      <c r="L552" s="198" t="s">
        <v>193</v>
      </c>
      <c r="M552" s="198" t="s">
        <v>48</v>
      </c>
      <c r="N552" s="199">
        <v>66.44</v>
      </c>
      <c r="O552" s="199">
        <v>15.58</v>
      </c>
      <c r="P552" s="173">
        <f t="shared" si="40"/>
        <v>50.86</v>
      </c>
      <c r="Q552" s="199">
        <v>545</v>
      </c>
      <c r="R552" s="175">
        <f t="shared" si="41"/>
        <v>27718.7</v>
      </c>
      <c r="S552" s="199"/>
      <c r="T552" s="176"/>
      <c r="V552" s="176" t="s">
        <v>24</v>
      </c>
      <c r="W552" s="170">
        <v>145</v>
      </c>
      <c r="X552" s="177">
        <f t="shared" si="42"/>
        <v>7374.7</v>
      </c>
      <c r="Y552" s="178">
        <v>260</v>
      </c>
      <c r="Z552" s="178">
        <f t="shared" si="43"/>
        <v>13223.6</v>
      </c>
      <c r="AA552" s="176">
        <f t="shared" si="44"/>
        <v>48317</v>
      </c>
    </row>
    <row r="553" spans="1:38" s="179" customFormat="1" ht="15.75">
      <c r="A553" s="32">
        <v>550</v>
      </c>
      <c r="B553" s="168">
        <v>45952</v>
      </c>
      <c r="C553" s="168">
        <v>45952</v>
      </c>
      <c r="D553" s="169" t="s">
        <v>1347</v>
      </c>
      <c r="E553" s="170"/>
      <c r="F553" s="170"/>
      <c r="G553" s="170"/>
      <c r="H553" s="171"/>
      <c r="I553" s="171" t="s">
        <v>933</v>
      </c>
      <c r="J553" s="172" t="s">
        <v>23</v>
      </c>
      <c r="K553" s="171" t="s">
        <v>30</v>
      </c>
      <c r="L553" s="170" t="s">
        <v>934</v>
      </c>
      <c r="M553" s="170" t="s">
        <v>31</v>
      </c>
      <c r="N553" s="170">
        <v>9.4600000000000009</v>
      </c>
      <c r="O553" s="170">
        <v>3.52</v>
      </c>
      <c r="P553" s="173">
        <f t="shared" si="40"/>
        <v>5.9400000000000013</v>
      </c>
      <c r="Q553" s="174">
        <v>150</v>
      </c>
      <c r="R553" s="175">
        <f t="shared" si="41"/>
        <v>891.00000000000023</v>
      </c>
      <c r="S553" s="174">
        <v>891</v>
      </c>
      <c r="T553" s="176"/>
      <c r="V553" s="176" t="s">
        <v>24</v>
      </c>
      <c r="W553" s="174"/>
      <c r="X553" s="177">
        <f t="shared" si="42"/>
        <v>0</v>
      </c>
      <c r="Y553" s="178"/>
      <c r="Z553" s="176">
        <f t="shared" si="43"/>
        <v>0</v>
      </c>
      <c r="AA553" s="176">
        <f t="shared" si="44"/>
        <v>891.00000000000023</v>
      </c>
    </row>
    <row r="554" spans="1:38" s="179" customFormat="1" ht="15.75">
      <c r="A554" s="32">
        <v>551</v>
      </c>
      <c r="B554" s="168">
        <v>45952</v>
      </c>
      <c r="C554" s="168">
        <v>45952</v>
      </c>
      <c r="D554" s="169" t="s">
        <v>1348</v>
      </c>
      <c r="E554" s="170"/>
      <c r="F554" s="170"/>
      <c r="G554" s="170"/>
      <c r="H554" s="171"/>
      <c r="I554" s="171" t="s">
        <v>933</v>
      </c>
      <c r="J554" s="172" t="s">
        <v>23</v>
      </c>
      <c r="K554" s="171" t="s">
        <v>30</v>
      </c>
      <c r="L554" s="170" t="s">
        <v>934</v>
      </c>
      <c r="M554" s="170" t="s">
        <v>31</v>
      </c>
      <c r="N554" s="170">
        <v>9.64</v>
      </c>
      <c r="O554" s="170">
        <v>3.56</v>
      </c>
      <c r="P554" s="173">
        <f t="shared" si="40"/>
        <v>6.08</v>
      </c>
      <c r="Q554" s="174">
        <v>150</v>
      </c>
      <c r="R554" s="175">
        <f t="shared" si="41"/>
        <v>912</v>
      </c>
      <c r="S554" s="174">
        <v>912</v>
      </c>
      <c r="T554" s="176"/>
      <c r="V554" s="176" t="s">
        <v>24</v>
      </c>
      <c r="W554" s="174"/>
      <c r="X554" s="177">
        <f t="shared" si="42"/>
        <v>0</v>
      </c>
      <c r="Y554" s="178"/>
      <c r="Z554" s="178">
        <f t="shared" si="43"/>
        <v>0</v>
      </c>
      <c r="AA554" s="176">
        <f t="shared" si="44"/>
        <v>912</v>
      </c>
    </row>
    <row r="555" spans="1:38" s="179" customFormat="1" ht="15.75">
      <c r="A555" s="32">
        <v>552</v>
      </c>
      <c r="B555" s="168">
        <v>45952</v>
      </c>
      <c r="C555" s="168">
        <v>45952</v>
      </c>
      <c r="D555" s="169" t="s">
        <v>1349</v>
      </c>
      <c r="E555" s="170"/>
      <c r="F555" s="170"/>
      <c r="G555" s="170"/>
      <c r="H555" s="171"/>
      <c r="I555" s="171" t="s">
        <v>933</v>
      </c>
      <c r="J555" s="172" t="s">
        <v>23</v>
      </c>
      <c r="K555" s="171" t="s">
        <v>30</v>
      </c>
      <c r="L555" s="170" t="s">
        <v>934</v>
      </c>
      <c r="M555" s="170" t="s">
        <v>31</v>
      </c>
      <c r="N555" s="170">
        <v>9.64</v>
      </c>
      <c r="O555" s="170">
        <v>3.54</v>
      </c>
      <c r="P555" s="173">
        <f t="shared" si="40"/>
        <v>6.1000000000000005</v>
      </c>
      <c r="Q555" s="174">
        <v>150</v>
      </c>
      <c r="R555" s="175">
        <f t="shared" si="41"/>
        <v>915.00000000000011</v>
      </c>
      <c r="S555" s="174">
        <v>915</v>
      </c>
      <c r="T555" s="176"/>
      <c r="V555" s="176" t="s">
        <v>24</v>
      </c>
      <c r="W555" s="174"/>
      <c r="X555" s="177">
        <f t="shared" si="42"/>
        <v>0</v>
      </c>
      <c r="Y555" s="178"/>
      <c r="Z555" s="178">
        <f t="shared" si="43"/>
        <v>0</v>
      </c>
      <c r="AA555" s="176">
        <f t="shared" si="44"/>
        <v>915.00000000000011</v>
      </c>
    </row>
    <row r="556" spans="1:38" s="179" customFormat="1" ht="15.75">
      <c r="A556" s="32">
        <v>553</v>
      </c>
      <c r="B556" s="168">
        <v>45952</v>
      </c>
      <c r="C556" s="168">
        <v>45952</v>
      </c>
      <c r="D556" s="169">
        <v>251022011</v>
      </c>
      <c r="E556" s="170" t="s">
        <v>1350</v>
      </c>
      <c r="F556" s="170" t="s">
        <v>1351</v>
      </c>
      <c r="G556" s="170">
        <v>30</v>
      </c>
      <c r="H556" s="183">
        <v>115</v>
      </c>
      <c r="I556" s="184" t="s">
        <v>46</v>
      </c>
      <c r="J556" s="185" t="s">
        <v>23</v>
      </c>
      <c r="K556" s="186" t="s">
        <v>38</v>
      </c>
      <c r="L556" s="170" t="s">
        <v>563</v>
      </c>
      <c r="M556" s="170" t="s">
        <v>40</v>
      </c>
      <c r="N556" s="170">
        <v>43.71</v>
      </c>
      <c r="O556" s="170">
        <v>12.13</v>
      </c>
      <c r="P556" s="173">
        <f t="shared" si="40"/>
        <v>31.58</v>
      </c>
      <c r="Q556" s="174">
        <v>315</v>
      </c>
      <c r="R556" s="175">
        <f t="shared" si="41"/>
        <v>9947.6999999999989</v>
      </c>
      <c r="S556" s="174"/>
      <c r="T556" s="176"/>
      <c r="V556" s="176" t="s">
        <v>1272</v>
      </c>
      <c r="W556" s="174">
        <v>145</v>
      </c>
      <c r="X556" s="177">
        <f t="shared" si="42"/>
        <v>4579.0999999999995</v>
      </c>
      <c r="Y556" s="178">
        <v>260</v>
      </c>
      <c r="Z556" s="176">
        <f t="shared" si="43"/>
        <v>8210.7999999999993</v>
      </c>
      <c r="AA556" s="176">
        <f t="shared" si="44"/>
        <v>22737.599999999999</v>
      </c>
    </row>
    <row r="557" spans="1:38" s="179" customFormat="1" ht="15.75">
      <c r="A557" s="32">
        <v>554</v>
      </c>
      <c r="B557" s="168">
        <v>45952</v>
      </c>
      <c r="C557" s="168">
        <v>45952</v>
      </c>
      <c r="D557" s="169">
        <v>251022012</v>
      </c>
      <c r="E557" s="170" t="s">
        <v>1352</v>
      </c>
      <c r="F557" s="170" t="s">
        <v>1353</v>
      </c>
      <c r="G557" s="170">
        <v>34</v>
      </c>
      <c r="H557" s="191">
        <v>24</v>
      </c>
      <c r="I557" s="184" t="s">
        <v>37</v>
      </c>
      <c r="J557" s="35" t="s">
        <v>23</v>
      </c>
      <c r="K557" s="36" t="s">
        <v>38</v>
      </c>
      <c r="L557" s="170" t="s">
        <v>311</v>
      </c>
      <c r="M557" s="170" t="s">
        <v>40</v>
      </c>
      <c r="N557" s="170">
        <v>46.58</v>
      </c>
      <c r="O557" s="170">
        <v>11.56</v>
      </c>
      <c r="P557" s="173">
        <f t="shared" si="40"/>
        <v>35.019999999999996</v>
      </c>
      <c r="Q557" s="174">
        <v>335</v>
      </c>
      <c r="R557" s="175">
        <f t="shared" si="41"/>
        <v>11731.699999999999</v>
      </c>
      <c r="S557" s="174"/>
      <c r="T557" s="176"/>
      <c r="V557" s="176" t="s">
        <v>24</v>
      </c>
      <c r="W557" s="174">
        <v>145</v>
      </c>
      <c r="X557" s="177">
        <f t="shared" si="42"/>
        <v>5077.8999999999996</v>
      </c>
      <c r="Y557" s="178">
        <v>260</v>
      </c>
      <c r="Z557" s="178">
        <f t="shared" si="43"/>
        <v>9105.1999999999989</v>
      </c>
      <c r="AA557" s="176">
        <f t="shared" si="44"/>
        <v>25914.799999999996</v>
      </c>
    </row>
    <row r="558" spans="1:38" s="179" customFormat="1" ht="15.75">
      <c r="A558" s="32">
        <v>555</v>
      </c>
      <c r="B558" s="168">
        <v>45952</v>
      </c>
      <c r="C558" s="168">
        <v>45952</v>
      </c>
      <c r="D558" s="169">
        <v>251022013</v>
      </c>
      <c r="E558" s="170" t="s">
        <v>1354</v>
      </c>
      <c r="F558" s="170" t="s">
        <v>1355</v>
      </c>
      <c r="G558" s="170">
        <v>41</v>
      </c>
      <c r="H558" s="183">
        <v>115</v>
      </c>
      <c r="I558" s="184" t="s">
        <v>46</v>
      </c>
      <c r="J558" s="185" t="s">
        <v>23</v>
      </c>
      <c r="K558" s="186" t="s">
        <v>38</v>
      </c>
      <c r="L558" s="170" t="s">
        <v>70</v>
      </c>
      <c r="M558" s="170" t="s">
        <v>55</v>
      </c>
      <c r="N558" s="170">
        <v>54.34</v>
      </c>
      <c r="O558" s="170">
        <v>12.22</v>
      </c>
      <c r="P558" s="173">
        <f t="shared" si="40"/>
        <v>42.120000000000005</v>
      </c>
      <c r="Q558" s="174">
        <v>445</v>
      </c>
      <c r="R558" s="175">
        <f t="shared" si="41"/>
        <v>18743.400000000001</v>
      </c>
      <c r="S558" s="174"/>
      <c r="T558" s="176"/>
      <c r="V558" s="176" t="s">
        <v>24</v>
      </c>
      <c r="W558" s="174">
        <v>145</v>
      </c>
      <c r="X558" s="177">
        <f t="shared" si="42"/>
        <v>6107.4000000000005</v>
      </c>
      <c r="Y558" s="178">
        <v>260</v>
      </c>
      <c r="Z558" s="178">
        <f t="shared" si="43"/>
        <v>10951.2</v>
      </c>
      <c r="AA558" s="176">
        <f t="shared" si="44"/>
        <v>35802</v>
      </c>
    </row>
    <row r="559" spans="1:38" s="179" customFormat="1" ht="17.100000000000001" customHeight="1">
      <c r="A559" s="32">
        <v>556</v>
      </c>
      <c r="B559" s="168">
        <v>45952</v>
      </c>
      <c r="C559" s="168">
        <v>45952</v>
      </c>
      <c r="D559" s="169">
        <v>251022014</v>
      </c>
      <c r="E559" s="170" t="s">
        <v>1356</v>
      </c>
      <c r="F559" s="170" t="s">
        <v>1357</v>
      </c>
      <c r="G559" s="170">
        <v>42</v>
      </c>
      <c r="H559" s="183">
        <v>115</v>
      </c>
      <c r="I559" s="184" t="s">
        <v>46</v>
      </c>
      <c r="J559" s="185" t="s">
        <v>23</v>
      </c>
      <c r="K559" s="186" t="s">
        <v>38</v>
      </c>
      <c r="L559" s="170" t="s">
        <v>304</v>
      </c>
      <c r="M559" s="170" t="s">
        <v>40</v>
      </c>
      <c r="N559" s="170">
        <v>59</v>
      </c>
      <c r="O559" s="170">
        <v>15.97</v>
      </c>
      <c r="P559" s="173">
        <f t="shared" si="40"/>
        <v>43.03</v>
      </c>
      <c r="Q559" s="174">
        <v>315</v>
      </c>
      <c r="R559" s="175">
        <f t="shared" si="41"/>
        <v>13554.45</v>
      </c>
      <c r="S559" s="174"/>
      <c r="T559" s="176"/>
      <c r="V559" s="176" t="s">
        <v>1272</v>
      </c>
      <c r="W559" s="174">
        <v>145</v>
      </c>
      <c r="X559" s="177">
        <f t="shared" si="42"/>
        <v>6239.35</v>
      </c>
      <c r="Y559" s="178">
        <v>260</v>
      </c>
      <c r="Z559" s="178">
        <f t="shared" si="43"/>
        <v>11187.800000000001</v>
      </c>
      <c r="AA559" s="176">
        <f t="shared" si="44"/>
        <v>30981.600000000006</v>
      </c>
      <c r="AB559" s="188"/>
      <c r="AC559" s="187"/>
      <c r="AD559" s="189"/>
      <c r="AE559" s="190"/>
      <c r="AF559" s="187"/>
      <c r="AG559" s="190"/>
      <c r="AH559" s="187"/>
      <c r="AI559" s="189"/>
      <c r="AJ559" s="187"/>
      <c r="AK559" s="189"/>
      <c r="AL559" s="189"/>
    </row>
    <row r="560" spans="1:38" s="179" customFormat="1" ht="15.75">
      <c r="A560" s="32">
        <v>557</v>
      </c>
      <c r="B560" s="168">
        <v>45952</v>
      </c>
      <c r="C560" s="168">
        <v>45952</v>
      </c>
      <c r="D560" s="169">
        <v>251022015</v>
      </c>
      <c r="E560" s="170" t="s">
        <v>1358</v>
      </c>
      <c r="F560" s="170" t="s">
        <v>1359</v>
      </c>
      <c r="G560" s="170">
        <v>30</v>
      </c>
      <c r="H560" s="191">
        <v>24</v>
      </c>
      <c r="I560" s="184" t="s">
        <v>37</v>
      </c>
      <c r="J560" s="35" t="s">
        <v>23</v>
      </c>
      <c r="K560" s="36" t="s">
        <v>38</v>
      </c>
      <c r="L560" s="170" t="s">
        <v>39</v>
      </c>
      <c r="M560" s="170" t="s">
        <v>40</v>
      </c>
      <c r="N560" s="170">
        <v>41.74</v>
      </c>
      <c r="O560" s="170">
        <v>10.62</v>
      </c>
      <c r="P560" s="173">
        <f t="shared" si="40"/>
        <v>31.120000000000005</v>
      </c>
      <c r="Q560" s="174">
        <v>335</v>
      </c>
      <c r="R560" s="175">
        <f t="shared" si="41"/>
        <v>10425.200000000001</v>
      </c>
      <c r="S560" s="174"/>
      <c r="T560" s="176"/>
      <c r="V560" s="176" t="s">
        <v>24</v>
      </c>
      <c r="W560" s="174">
        <v>145</v>
      </c>
      <c r="X560" s="177">
        <f t="shared" si="42"/>
        <v>4512.4000000000005</v>
      </c>
      <c r="Y560" s="178">
        <v>260</v>
      </c>
      <c r="Z560" s="178">
        <f t="shared" si="43"/>
        <v>8091.2000000000007</v>
      </c>
      <c r="AA560" s="176">
        <f t="shared" si="44"/>
        <v>23028.800000000003</v>
      </c>
    </row>
    <row r="561" spans="1:27" s="179" customFormat="1" ht="15.75">
      <c r="A561" s="32">
        <v>558</v>
      </c>
      <c r="B561" s="168">
        <v>45952</v>
      </c>
      <c r="C561" s="168">
        <v>45952</v>
      </c>
      <c r="D561" s="169">
        <v>251022016</v>
      </c>
      <c r="E561" s="170" t="s">
        <v>1360</v>
      </c>
      <c r="F561" s="170" t="s">
        <v>1361</v>
      </c>
      <c r="G561" s="170">
        <v>48</v>
      </c>
      <c r="H561" s="183">
        <v>115</v>
      </c>
      <c r="I561" s="184" t="s">
        <v>46</v>
      </c>
      <c r="J561" s="185" t="s">
        <v>23</v>
      </c>
      <c r="K561" s="186" t="s">
        <v>38</v>
      </c>
      <c r="L561" s="170" t="s">
        <v>125</v>
      </c>
      <c r="M561" s="170" t="s">
        <v>55</v>
      </c>
      <c r="N561" s="170">
        <v>64.680000000000007</v>
      </c>
      <c r="O561" s="170">
        <v>15.66</v>
      </c>
      <c r="P561" s="173">
        <f t="shared" si="40"/>
        <v>49.02000000000001</v>
      </c>
      <c r="Q561" s="174">
        <v>445</v>
      </c>
      <c r="R561" s="175">
        <f t="shared" si="41"/>
        <v>21813.900000000005</v>
      </c>
      <c r="S561" s="174"/>
      <c r="T561" s="176"/>
      <c r="V561" s="176" t="s">
        <v>24</v>
      </c>
      <c r="W561" s="174">
        <v>145</v>
      </c>
      <c r="X561" s="177">
        <f t="shared" si="42"/>
        <v>7107.9000000000015</v>
      </c>
      <c r="Y561" s="178">
        <v>260</v>
      </c>
      <c r="Z561" s="178">
        <f t="shared" si="43"/>
        <v>12745.200000000003</v>
      </c>
      <c r="AA561" s="176">
        <f t="shared" si="44"/>
        <v>41667.000000000007</v>
      </c>
    </row>
    <row r="562" spans="1:27" s="179" customFormat="1" ht="15.75">
      <c r="A562" s="32">
        <v>559</v>
      </c>
      <c r="B562" s="168">
        <v>45952</v>
      </c>
      <c r="C562" s="168">
        <v>45952</v>
      </c>
      <c r="D562" s="169">
        <v>251022017</v>
      </c>
      <c r="E562" s="170" t="s">
        <v>1362</v>
      </c>
      <c r="F562" s="170" t="s">
        <v>1363</v>
      </c>
      <c r="G562" s="170">
        <v>37</v>
      </c>
      <c r="H562" s="183">
        <v>115</v>
      </c>
      <c r="I562" s="184" t="s">
        <v>46</v>
      </c>
      <c r="J562" s="185" t="s">
        <v>23</v>
      </c>
      <c r="K562" s="186" t="s">
        <v>38</v>
      </c>
      <c r="L562" s="170" t="s">
        <v>142</v>
      </c>
      <c r="M562" s="170" t="s">
        <v>55</v>
      </c>
      <c r="N562" s="170">
        <v>50.56</v>
      </c>
      <c r="O562" s="170">
        <v>11.92</v>
      </c>
      <c r="P562" s="173">
        <f t="shared" si="40"/>
        <v>38.64</v>
      </c>
      <c r="Q562" s="174">
        <v>445</v>
      </c>
      <c r="R562" s="175">
        <f t="shared" si="41"/>
        <v>17194.8</v>
      </c>
      <c r="S562" s="174"/>
      <c r="T562" s="176"/>
      <c r="V562" s="176" t="s">
        <v>24</v>
      </c>
      <c r="W562" s="174">
        <v>145</v>
      </c>
      <c r="X562" s="177">
        <f t="shared" si="42"/>
        <v>5602.8</v>
      </c>
      <c r="Y562" s="178">
        <v>260</v>
      </c>
      <c r="Z562" s="178">
        <f t="shared" si="43"/>
        <v>10046.4</v>
      </c>
      <c r="AA562" s="176">
        <f t="shared" si="44"/>
        <v>32844</v>
      </c>
    </row>
    <row r="563" spans="1:27" s="179" customFormat="1" ht="15.75">
      <c r="A563" s="32">
        <v>560</v>
      </c>
      <c r="B563" s="168">
        <v>45952</v>
      </c>
      <c r="C563" s="168">
        <v>45952</v>
      </c>
      <c r="D563" s="169">
        <v>251022018</v>
      </c>
      <c r="E563" s="170" t="s">
        <v>1364</v>
      </c>
      <c r="F563" s="170" t="s">
        <v>1365</v>
      </c>
      <c r="G563" s="170">
        <v>38</v>
      </c>
      <c r="H563" s="183">
        <v>115</v>
      </c>
      <c r="I563" s="184" t="s">
        <v>46</v>
      </c>
      <c r="J563" s="185" t="s">
        <v>23</v>
      </c>
      <c r="K563" s="186" t="s">
        <v>38</v>
      </c>
      <c r="L563" s="170" t="s">
        <v>101</v>
      </c>
      <c r="M563" s="170" t="s">
        <v>55</v>
      </c>
      <c r="N563" s="170">
        <v>51.1</v>
      </c>
      <c r="O563" s="170">
        <v>11.58</v>
      </c>
      <c r="P563" s="173">
        <f t="shared" si="40"/>
        <v>39.520000000000003</v>
      </c>
      <c r="Q563" s="174">
        <v>445</v>
      </c>
      <c r="R563" s="175">
        <f t="shared" si="41"/>
        <v>17586.400000000001</v>
      </c>
      <c r="S563" s="174"/>
      <c r="T563" s="176"/>
      <c r="V563" s="176" t="s">
        <v>24</v>
      </c>
      <c r="W563" s="174">
        <v>145</v>
      </c>
      <c r="X563" s="177">
        <f t="shared" si="42"/>
        <v>5730.4000000000005</v>
      </c>
      <c r="Y563" s="178">
        <v>260</v>
      </c>
      <c r="Z563" s="178">
        <f t="shared" si="43"/>
        <v>10275.200000000001</v>
      </c>
      <c r="AA563" s="176">
        <f t="shared" si="44"/>
        <v>33592</v>
      </c>
    </row>
    <row r="564" spans="1:27" s="182" customFormat="1" ht="15.75">
      <c r="A564" s="32">
        <v>561</v>
      </c>
      <c r="B564" s="168">
        <v>45952</v>
      </c>
      <c r="C564" s="168">
        <v>45952</v>
      </c>
      <c r="D564" s="169">
        <v>251022019</v>
      </c>
      <c r="E564" s="170" t="s">
        <v>1366</v>
      </c>
      <c r="F564" s="170" t="s">
        <v>1367</v>
      </c>
      <c r="G564" s="170">
        <v>37</v>
      </c>
      <c r="H564" s="183">
        <v>115</v>
      </c>
      <c r="I564" s="184" t="s">
        <v>46</v>
      </c>
      <c r="J564" s="185" t="s">
        <v>23</v>
      </c>
      <c r="K564" s="186" t="s">
        <v>38</v>
      </c>
      <c r="L564" s="170" t="s">
        <v>98</v>
      </c>
      <c r="M564" s="170" t="s">
        <v>55</v>
      </c>
      <c r="N564" s="170">
        <v>50.54</v>
      </c>
      <c r="O564" s="170">
        <v>11.88</v>
      </c>
      <c r="P564" s="173">
        <f t="shared" si="40"/>
        <v>38.659999999999997</v>
      </c>
      <c r="Q564" s="174">
        <v>445</v>
      </c>
      <c r="R564" s="175">
        <f t="shared" si="41"/>
        <v>17203.699999999997</v>
      </c>
      <c r="S564" s="174"/>
      <c r="T564" s="176"/>
      <c r="V564" s="176" t="s">
        <v>24</v>
      </c>
      <c r="W564" s="174">
        <v>145</v>
      </c>
      <c r="X564" s="177">
        <f t="shared" si="42"/>
        <v>5605.7</v>
      </c>
      <c r="Y564" s="178">
        <v>260</v>
      </c>
      <c r="Z564" s="176">
        <f t="shared" si="43"/>
        <v>10051.599999999999</v>
      </c>
      <c r="AA564" s="176">
        <f t="shared" si="44"/>
        <v>32861</v>
      </c>
    </row>
    <row r="565" spans="1:27" s="179" customFormat="1" ht="15.75">
      <c r="A565" s="32">
        <v>562</v>
      </c>
      <c r="B565" s="168">
        <v>45952</v>
      </c>
      <c r="C565" s="168">
        <v>45952</v>
      </c>
      <c r="D565" s="169">
        <v>251022020</v>
      </c>
      <c r="E565" s="170" t="s">
        <v>1368</v>
      </c>
      <c r="F565" s="170" t="s">
        <v>1369</v>
      </c>
      <c r="G565" s="170">
        <v>46</v>
      </c>
      <c r="H565" s="183">
        <v>115</v>
      </c>
      <c r="I565" s="184" t="s">
        <v>46</v>
      </c>
      <c r="J565" s="185" t="s">
        <v>23</v>
      </c>
      <c r="K565" s="186" t="s">
        <v>38</v>
      </c>
      <c r="L565" s="170" t="s">
        <v>64</v>
      </c>
      <c r="M565" s="170" t="s">
        <v>40</v>
      </c>
      <c r="N565" s="170">
        <v>63.3</v>
      </c>
      <c r="O565" s="170">
        <v>16.3</v>
      </c>
      <c r="P565" s="173">
        <f t="shared" si="40"/>
        <v>47</v>
      </c>
      <c r="Q565" s="174">
        <v>315</v>
      </c>
      <c r="R565" s="175">
        <f t="shared" si="41"/>
        <v>14805</v>
      </c>
      <c r="S565" s="174"/>
      <c r="T565" s="176"/>
      <c r="V565" s="176" t="s">
        <v>24</v>
      </c>
      <c r="W565" s="174">
        <v>145</v>
      </c>
      <c r="X565" s="177">
        <f t="shared" si="42"/>
        <v>6815</v>
      </c>
      <c r="Y565" s="178">
        <v>260</v>
      </c>
      <c r="Z565" s="176">
        <f t="shared" si="43"/>
        <v>12220</v>
      </c>
      <c r="AA565" s="176">
        <f t="shared" si="44"/>
        <v>33840</v>
      </c>
    </row>
    <row r="566" spans="1:27" s="179" customFormat="1" ht="15.75">
      <c r="A566" s="32">
        <v>563</v>
      </c>
      <c r="B566" s="168">
        <v>45952</v>
      </c>
      <c r="C566" s="168">
        <v>45952</v>
      </c>
      <c r="D566" s="169">
        <v>251022021</v>
      </c>
      <c r="E566" s="170" t="s">
        <v>1370</v>
      </c>
      <c r="F566" s="170" t="s">
        <v>1371</v>
      </c>
      <c r="G566" s="170">
        <v>44</v>
      </c>
      <c r="H566" s="183">
        <v>115</v>
      </c>
      <c r="I566" s="184" t="s">
        <v>46</v>
      </c>
      <c r="J566" s="185" t="s">
        <v>23</v>
      </c>
      <c r="K566" s="186" t="s">
        <v>38</v>
      </c>
      <c r="L566" s="170" t="s">
        <v>61</v>
      </c>
      <c r="M566" s="170" t="s">
        <v>48</v>
      </c>
      <c r="N566" s="170">
        <v>60.38</v>
      </c>
      <c r="O566" s="170">
        <v>15.92</v>
      </c>
      <c r="P566" s="173">
        <f t="shared" si="40"/>
        <v>44.46</v>
      </c>
      <c r="Q566" s="174">
        <v>545</v>
      </c>
      <c r="R566" s="175">
        <f t="shared" si="41"/>
        <v>24230.7</v>
      </c>
      <c r="S566" s="174"/>
      <c r="T566" s="176"/>
      <c r="V566" s="176" t="s">
        <v>24</v>
      </c>
      <c r="W566" s="174">
        <v>145</v>
      </c>
      <c r="X566" s="177">
        <f t="shared" si="42"/>
        <v>6446.7</v>
      </c>
      <c r="Y566" s="178">
        <v>260</v>
      </c>
      <c r="Z566" s="176">
        <f t="shared" si="43"/>
        <v>11559.6</v>
      </c>
      <c r="AA566" s="176">
        <f t="shared" si="44"/>
        <v>42237</v>
      </c>
    </row>
    <row r="567" spans="1:27" s="182" customFormat="1" ht="15.75">
      <c r="A567" s="32">
        <v>564</v>
      </c>
      <c r="B567" s="168">
        <v>45952</v>
      </c>
      <c r="C567" s="168">
        <v>45952</v>
      </c>
      <c r="D567" s="169">
        <v>251022022</v>
      </c>
      <c r="E567" s="170" t="s">
        <v>1372</v>
      </c>
      <c r="F567" s="170" t="s">
        <v>1373</v>
      </c>
      <c r="G567" s="170">
        <v>55</v>
      </c>
      <c r="H567" s="183">
        <v>115</v>
      </c>
      <c r="I567" s="184" t="s">
        <v>46</v>
      </c>
      <c r="J567" s="185" t="s">
        <v>23</v>
      </c>
      <c r="K567" s="186" t="s">
        <v>38</v>
      </c>
      <c r="L567" s="170" t="s">
        <v>172</v>
      </c>
      <c r="M567" s="170" t="s">
        <v>48</v>
      </c>
      <c r="N567" s="170">
        <v>73.459999999999994</v>
      </c>
      <c r="O567" s="170">
        <v>17.84</v>
      </c>
      <c r="P567" s="173">
        <f t="shared" si="40"/>
        <v>55.61999999999999</v>
      </c>
      <c r="Q567" s="174">
        <v>545</v>
      </c>
      <c r="R567" s="175">
        <f t="shared" si="41"/>
        <v>30312.899999999994</v>
      </c>
      <c r="S567" s="174"/>
      <c r="T567" s="176"/>
      <c r="V567" s="176" t="s">
        <v>24</v>
      </c>
      <c r="W567" s="174">
        <v>145</v>
      </c>
      <c r="X567" s="177">
        <f t="shared" si="42"/>
        <v>8064.8999999999987</v>
      </c>
      <c r="Y567" s="178">
        <v>260</v>
      </c>
      <c r="Z567" s="176">
        <f t="shared" si="43"/>
        <v>14461.199999999997</v>
      </c>
      <c r="AA567" s="176">
        <f t="shared" si="44"/>
        <v>52838.999999999993</v>
      </c>
    </row>
    <row r="568" spans="1:27" s="179" customFormat="1" ht="15.75">
      <c r="A568" s="32">
        <v>565</v>
      </c>
      <c r="B568" s="168">
        <v>45952</v>
      </c>
      <c r="C568" s="168">
        <v>45952</v>
      </c>
      <c r="D568" s="169">
        <v>251022023</v>
      </c>
      <c r="E568" s="170" t="s">
        <v>1374</v>
      </c>
      <c r="F568" s="170" t="s">
        <v>1375</v>
      </c>
      <c r="G568" s="170">
        <v>46</v>
      </c>
      <c r="H568" s="183">
        <v>115</v>
      </c>
      <c r="I568" s="184" t="s">
        <v>46</v>
      </c>
      <c r="J568" s="185" t="s">
        <v>23</v>
      </c>
      <c r="K568" s="186" t="s">
        <v>38</v>
      </c>
      <c r="L568" s="170" t="s">
        <v>116</v>
      </c>
      <c r="M568" s="170" t="s">
        <v>48</v>
      </c>
      <c r="N568" s="170">
        <v>61.2</v>
      </c>
      <c r="O568" s="170">
        <v>15.02</v>
      </c>
      <c r="P568" s="173">
        <f t="shared" si="40"/>
        <v>46.180000000000007</v>
      </c>
      <c r="Q568" s="174">
        <v>545</v>
      </c>
      <c r="R568" s="175">
        <f t="shared" si="41"/>
        <v>25168.100000000002</v>
      </c>
      <c r="S568" s="174"/>
      <c r="T568" s="176"/>
      <c r="V568" s="176" t="s">
        <v>24</v>
      </c>
      <c r="W568" s="174">
        <v>145</v>
      </c>
      <c r="X568" s="177">
        <f t="shared" si="42"/>
        <v>6696.1000000000013</v>
      </c>
      <c r="Y568" s="178">
        <v>260</v>
      </c>
      <c r="Z568" s="176">
        <f t="shared" si="43"/>
        <v>12006.800000000001</v>
      </c>
      <c r="AA568" s="176">
        <f t="shared" si="44"/>
        <v>43871.000000000007</v>
      </c>
    </row>
    <row r="569" spans="1:27" s="179" customFormat="1" ht="15.75">
      <c r="A569" s="32">
        <v>566</v>
      </c>
      <c r="B569" s="168">
        <v>45952</v>
      </c>
      <c r="C569" s="168">
        <v>45952</v>
      </c>
      <c r="D569" s="169">
        <v>251022024</v>
      </c>
      <c r="E569" s="170" t="s">
        <v>1376</v>
      </c>
      <c r="F569" s="170" t="s">
        <v>1377</v>
      </c>
      <c r="G569" s="170">
        <v>47</v>
      </c>
      <c r="H569" s="183">
        <v>115</v>
      </c>
      <c r="I569" s="184" t="s">
        <v>46</v>
      </c>
      <c r="J569" s="185" t="s">
        <v>23</v>
      </c>
      <c r="K569" s="186" t="s">
        <v>38</v>
      </c>
      <c r="L569" s="170" t="s">
        <v>639</v>
      </c>
      <c r="M569" s="170" t="s">
        <v>48</v>
      </c>
      <c r="N569" s="170">
        <v>63.42</v>
      </c>
      <c r="O569" s="170">
        <v>15.66</v>
      </c>
      <c r="P569" s="173">
        <f t="shared" si="40"/>
        <v>47.760000000000005</v>
      </c>
      <c r="Q569" s="174">
        <v>545</v>
      </c>
      <c r="R569" s="175">
        <f t="shared" si="41"/>
        <v>26029.200000000004</v>
      </c>
      <c r="S569" s="174"/>
      <c r="T569" s="176"/>
      <c r="V569" s="176" t="s">
        <v>24</v>
      </c>
      <c r="W569" s="174">
        <v>145</v>
      </c>
      <c r="X569" s="177">
        <f t="shared" si="42"/>
        <v>6925.2000000000007</v>
      </c>
      <c r="Y569" s="178">
        <v>260</v>
      </c>
      <c r="Z569" s="176">
        <f t="shared" si="43"/>
        <v>12417.600000000002</v>
      </c>
      <c r="AA569" s="176">
        <f t="shared" si="44"/>
        <v>45372.000000000015</v>
      </c>
    </row>
    <row r="570" spans="1:27" s="179" customFormat="1" ht="15.75">
      <c r="A570" s="32">
        <v>567</v>
      </c>
      <c r="B570" s="168">
        <v>45952</v>
      </c>
      <c r="C570" s="168">
        <v>45952</v>
      </c>
      <c r="D570" s="169">
        <v>251022025</v>
      </c>
      <c r="E570" s="170" t="s">
        <v>1378</v>
      </c>
      <c r="F570" s="170" t="s">
        <v>1379</v>
      </c>
      <c r="G570" s="170">
        <v>45</v>
      </c>
      <c r="H570" s="183">
        <v>115</v>
      </c>
      <c r="I570" s="184" t="s">
        <v>46</v>
      </c>
      <c r="J570" s="185" t="s">
        <v>23</v>
      </c>
      <c r="K570" s="186" t="s">
        <v>38</v>
      </c>
      <c r="L570" s="170" t="s">
        <v>76</v>
      </c>
      <c r="M570" s="170" t="s">
        <v>48</v>
      </c>
      <c r="N570" s="170">
        <v>64.5</v>
      </c>
      <c r="O570" s="170">
        <v>18.920000000000002</v>
      </c>
      <c r="P570" s="173">
        <f t="shared" si="40"/>
        <v>45.58</v>
      </c>
      <c r="Q570" s="174">
        <v>545</v>
      </c>
      <c r="R570" s="175">
        <f t="shared" si="41"/>
        <v>24841.1</v>
      </c>
      <c r="S570" s="174"/>
      <c r="T570" s="176"/>
      <c r="V570" s="176" t="s">
        <v>24</v>
      </c>
      <c r="W570" s="174">
        <v>145</v>
      </c>
      <c r="X570" s="177">
        <f t="shared" si="42"/>
        <v>6609.0999999999995</v>
      </c>
      <c r="Y570" s="178">
        <v>260</v>
      </c>
      <c r="Z570" s="176">
        <f t="shared" si="43"/>
        <v>11850.8</v>
      </c>
      <c r="AA570" s="176">
        <f t="shared" si="44"/>
        <v>43301</v>
      </c>
    </row>
    <row r="571" spans="1:27" s="179" customFormat="1" ht="15.75">
      <c r="A571" s="32">
        <v>568</v>
      </c>
      <c r="B571" s="168">
        <v>45952</v>
      </c>
      <c r="C571" s="168">
        <v>45953</v>
      </c>
      <c r="D571" s="169">
        <v>251023001</v>
      </c>
      <c r="E571" s="170" t="s">
        <v>1380</v>
      </c>
      <c r="F571" s="170" t="s">
        <v>1381</v>
      </c>
      <c r="G571" s="170">
        <v>35</v>
      </c>
      <c r="H571" s="183">
        <v>96</v>
      </c>
      <c r="I571" s="196" t="s">
        <v>85</v>
      </c>
      <c r="J571" s="105" t="s">
        <v>23</v>
      </c>
      <c r="K571" s="43" t="s">
        <v>38</v>
      </c>
      <c r="L571" s="170" t="s">
        <v>149</v>
      </c>
      <c r="M571" s="170" t="s">
        <v>48</v>
      </c>
      <c r="N571" s="170">
        <v>48.6</v>
      </c>
      <c r="O571" s="170">
        <v>12.06</v>
      </c>
      <c r="P571" s="173">
        <f t="shared" si="40"/>
        <v>36.54</v>
      </c>
      <c r="Q571" s="174">
        <v>520</v>
      </c>
      <c r="R571" s="175">
        <f t="shared" si="41"/>
        <v>19000.8</v>
      </c>
      <c r="S571" s="174"/>
      <c r="T571" s="176"/>
      <c r="V571" s="176" t="s">
        <v>217</v>
      </c>
      <c r="W571" s="174">
        <v>145</v>
      </c>
      <c r="X571" s="177">
        <f t="shared" si="42"/>
        <v>5298.3</v>
      </c>
      <c r="Y571" s="178"/>
      <c r="Z571" s="176">
        <f t="shared" si="43"/>
        <v>0</v>
      </c>
      <c r="AA571" s="176">
        <f t="shared" si="44"/>
        <v>24299.1</v>
      </c>
    </row>
    <row r="572" spans="1:27" s="179" customFormat="1" ht="15.75">
      <c r="A572" s="32">
        <v>569</v>
      </c>
      <c r="B572" s="168">
        <v>45952</v>
      </c>
      <c r="C572" s="168">
        <v>45953</v>
      </c>
      <c r="D572" s="169">
        <v>251023002</v>
      </c>
      <c r="E572" s="170" t="s">
        <v>1382</v>
      </c>
      <c r="F572" s="170" t="s">
        <v>1383</v>
      </c>
      <c r="G572" s="170">
        <v>46</v>
      </c>
      <c r="H572" s="191">
        <v>84</v>
      </c>
      <c r="I572" s="196" t="s">
        <v>1009</v>
      </c>
      <c r="J572" s="35" t="s">
        <v>23</v>
      </c>
      <c r="K572" s="36" t="s">
        <v>38</v>
      </c>
      <c r="L572" s="170" t="s">
        <v>236</v>
      </c>
      <c r="M572" s="170" t="s">
        <v>40</v>
      </c>
      <c r="N572" s="170">
        <v>65.5</v>
      </c>
      <c r="O572" s="170">
        <v>18.260000000000002</v>
      </c>
      <c r="P572" s="173">
        <f t="shared" si="40"/>
        <v>47.239999999999995</v>
      </c>
      <c r="Q572" s="174">
        <v>305</v>
      </c>
      <c r="R572" s="175">
        <f t="shared" si="41"/>
        <v>14408.199999999999</v>
      </c>
      <c r="S572" s="174"/>
      <c r="T572" s="176"/>
      <c r="V572" s="176" t="s">
        <v>24</v>
      </c>
      <c r="W572" s="174">
        <v>145</v>
      </c>
      <c r="X572" s="177">
        <f t="shared" si="42"/>
        <v>6849.7999999999993</v>
      </c>
      <c r="Y572" s="178">
        <v>210</v>
      </c>
      <c r="Z572" s="176">
        <f t="shared" si="43"/>
        <v>9920.4</v>
      </c>
      <c r="AA572" s="176">
        <f t="shared" si="44"/>
        <v>31178.400000000001</v>
      </c>
    </row>
    <row r="573" spans="1:27" s="179" customFormat="1" ht="15.75">
      <c r="A573" s="32">
        <v>570</v>
      </c>
      <c r="B573" s="168">
        <v>45952</v>
      </c>
      <c r="C573" s="168">
        <v>45953</v>
      </c>
      <c r="D573" s="169">
        <v>251023003</v>
      </c>
      <c r="E573" s="170" t="s">
        <v>1384</v>
      </c>
      <c r="F573" s="170" t="s">
        <v>1385</v>
      </c>
      <c r="G573" s="170">
        <v>45</v>
      </c>
      <c r="H573" s="191">
        <v>84</v>
      </c>
      <c r="I573" s="196" t="s">
        <v>1009</v>
      </c>
      <c r="J573" s="35" t="s">
        <v>23</v>
      </c>
      <c r="K573" s="36" t="s">
        <v>38</v>
      </c>
      <c r="L573" s="170" t="s">
        <v>54</v>
      </c>
      <c r="M573" s="170" t="s">
        <v>40</v>
      </c>
      <c r="N573" s="170">
        <v>63.44</v>
      </c>
      <c r="O573" s="170">
        <v>16.98</v>
      </c>
      <c r="P573" s="173">
        <f t="shared" si="40"/>
        <v>46.459999999999994</v>
      </c>
      <c r="Q573" s="174">
        <v>305</v>
      </c>
      <c r="R573" s="175">
        <f t="shared" si="41"/>
        <v>14170.299999999997</v>
      </c>
      <c r="S573" s="174"/>
      <c r="T573" s="176"/>
      <c r="V573" s="176" t="s">
        <v>24</v>
      </c>
      <c r="W573" s="174">
        <v>145</v>
      </c>
      <c r="X573" s="177">
        <f t="shared" si="42"/>
        <v>6736.6999999999989</v>
      </c>
      <c r="Y573" s="178">
        <v>210</v>
      </c>
      <c r="Z573" s="176">
        <f t="shared" si="43"/>
        <v>9756.5999999999985</v>
      </c>
      <c r="AA573" s="176">
        <f t="shared" si="44"/>
        <v>30663.599999999995</v>
      </c>
    </row>
    <row r="574" spans="1:27" s="182" customFormat="1" ht="15.75">
      <c r="A574" s="32">
        <v>571</v>
      </c>
      <c r="B574" s="168">
        <v>45952</v>
      </c>
      <c r="C574" s="168">
        <v>45953</v>
      </c>
      <c r="D574" s="169">
        <v>251023004</v>
      </c>
      <c r="E574" s="170" t="s">
        <v>1386</v>
      </c>
      <c r="F574" s="170" t="s">
        <v>1387</v>
      </c>
      <c r="G574" s="170">
        <v>42</v>
      </c>
      <c r="H574" s="191">
        <v>24</v>
      </c>
      <c r="I574" s="184" t="s">
        <v>37</v>
      </c>
      <c r="J574" s="35" t="s">
        <v>23</v>
      </c>
      <c r="K574" s="36" t="s">
        <v>38</v>
      </c>
      <c r="L574" s="170" t="s">
        <v>67</v>
      </c>
      <c r="M574" s="170" t="s">
        <v>40</v>
      </c>
      <c r="N574" s="170">
        <v>58.84</v>
      </c>
      <c r="O574" s="170">
        <v>15.74</v>
      </c>
      <c r="P574" s="173">
        <f t="shared" si="40"/>
        <v>43.1</v>
      </c>
      <c r="Q574" s="174">
        <v>335</v>
      </c>
      <c r="R574" s="175">
        <f t="shared" si="41"/>
        <v>14438.5</v>
      </c>
      <c r="S574" s="174"/>
      <c r="T574" s="176"/>
      <c r="V574" s="176" t="s">
        <v>24</v>
      </c>
      <c r="W574" s="174">
        <v>145</v>
      </c>
      <c r="X574" s="177">
        <f t="shared" si="42"/>
        <v>6249.5</v>
      </c>
      <c r="Y574" s="178">
        <v>260</v>
      </c>
      <c r="Z574" s="176">
        <f t="shared" si="43"/>
        <v>11206</v>
      </c>
      <c r="AA574" s="176">
        <f t="shared" si="44"/>
        <v>31894</v>
      </c>
    </row>
    <row r="575" spans="1:27" s="182" customFormat="1" ht="15.75">
      <c r="A575" s="32">
        <v>572</v>
      </c>
      <c r="B575" s="168">
        <v>45952</v>
      </c>
      <c r="C575" s="168">
        <v>45953</v>
      </c>
      <c r="D575" s="169" t="s">
        <v>1388</v>
      </c>
      <c r="E575" s="170"/>
      <c r="F575" s="170"/>
      <c r="G575" s="170"/>
      <c r="H575" s="171"/>
      <c r="I575" s="171" t="s">
        <v>752</v>
      </c>
      <c r="J575" s="35" t="s">
        <v>23</v>
      </c>
      <c r="K575" s="171" t="s">
        <v>30</v>
      </c>
      <c r="L575" s="170" t="s">
        <v>1389</v>
      </c>
      <c r="M575" s="170" t="s">
        <v>31</v>
      </c>
      <c r="N575" s="170">
        <v>9.06</v>
      </c>
      <c r="O575" s="170">
        <v>3.48</v>
      </c>
      <c r="P575" s="173">
        <f t="shared" si="40"/>
        <v>5.58</v>
      </c>
      <c r="Q575" s="174">
        <v>140</v>
      </c>
      <c r="R575" s="175">
        <f t="shared" si="41"/>
        <v>781.2</v>
      </c>
      <c r="S575" s="174">
        <v>780</v>
      </c>
      <c r="T575" s="176"/>
      <c r="V575" s="176" t="s">
        <v>24</v>
      </c>
      <c r="W575" s="174"/>
      <c r="X575" s="177">
        <f t="shared" si="42"/>
        <v>0</v>
      </c>
      <c r="Y575" s="178"/>
      <c r="Z575" s="176">
        <f t="shared" si="43"/>
        <v>0</v>
      </c>
      <c r="AA575" s="176">
        <f t="shared" si="44"/>
        <v>781.2</v>
      </c>
    </row>
    <row r="576" spans="1:27" s="179" customFormat="1" ht="15.75">
      <c r="A576" s="32">
        <v>573</v>
      </c>
      <c r="B576" s="168">
        <v>45953</v>
      </c>
      <c r="C576" s="168">
        <v>45953</v>
      </c>
      <c r="D576" s="169">
        <v>251023005</v>
      </c>
      <c r="E576" s="170" t="s">
        <v>1390</v>
      </c>
      <c r="F576" s="170" t="s">
        <v>1387</v>
      </c>
      <c r="G576" s="170">
        <v>46</v>
      </c>
      <c r="H576" s="201">
        <v>122</v>
      </c>
      <c r="I576" s="36" t="s">
        <v>1391</v>
      </c>
      <c r="J576" s="172" t="s">
        <v>23</v>
      </c>
      <c r="K576" s="171" t="s">
        <v>38</v>
      </c>
      <c r="L576" s="170" t="s">
        <v>1110</v>
      </c>
      <c r="M576" s="170" t="s">
        <v>502</v>
      </c>
      <c r="N576" s="170">
        <v>61.96</v>
      </c>
      <c r="O576" s="170">
        <v>15.3</v>
      </c>
      <c r="P576" s="173">
        <f t="shared" si="40"/>
        <v>46.66</v>
      </c>
      <c r="Q576" s="174">
        <v>415</v>
      </c>
      <c r="R576" s="175">
        <f t="shared" si="41"/>
        <v>19363.899999999998</v>
      </c>
      <c r="S576" s="174"/>
      <c r="T576" s="176"/>
      <c r="V576" s="176" t="s">
        <v>24</v>
      </c>
      <c r="W576" s="174">
        <v>145</v>
      </c>
      <c r="X576" s="177">
        <f t="shared" si="42"/>
        <v>6765.7</v>
      </c>
      <c r="Y576" s="178">
        <v>230</v>
      </c>
      <c r="Z576" s="176">
        <f t="shared" si="43"/>
        <v>10731.8</v>
      </c>
      <c r="AA576" s="176">
        <f t="shared" si="44"/>
        <v>36861.399999999994</v>
      </c>
    </row>
    <row r="577" spans="1:38" s="179" customFormat="1" ht="15.75">
      <c r="A577" s="32">
        <v>574</v>
      </c>
      <c r="B577" s="168">
        <v>45953</v>
      </c>
      <c r="C577" s="168">
        <v>45953</v>
      </c>
      <c r="D577" s="169">
        <v>251023006</v>
      </c>
      <c r="E577" s="170" t="s">
        <v>1392</v>
      </c>
      <c r="F577" s="170" t="s">
        <v>1393</v>
      </c>
      <c r="G577" s="170">
        <v>43</v>
      </c>
      <c r="H577" s="201">
        <v>122</v>
      </c>
      <c r="I577" s="36" t="s">
        <v>1394</v>
      </c>
      <c r="J577" s="172" t="s">
        <v>23</v>
      </c>
      <c r="K577" s="171" t="s">
        <v>38</v>
      </c>
      <c r="L577" s="170" t="s">
        <v>304</v>
      </c>
      <c r="M577" s="170" t="s">
        <v>502</v>
      </c>
      <c r="N577" s="170">
        <v>59.24</v>
      </c>
      <c r="O577" s="170">
        <v>15.92</v>
      </c>
      <c r="P577" s="173">
        <f t="shared" si="40"/>
        <v>43.32</v>
      </c>
      <c r="Q577" s="174">
        <v>415</v>
      </c>
      <c r="R577" s="175">
        <f t="shared" si="41"/>
        <v>17977.8</v>
      </c>
      <c r="S577" s="174"/>
      <c r="T577" s="176"/>
      <c r="V577" s="176" t="s">
        <v>24</v>
      </c>
      <c r="W577" s="174">
        <v>145</v>
      </c>
      <c r="X577" s="177">
        <f t="shared" si="42"/>
        <v>6281.4</v>
      </c>
      <c r="Y577" s="178">
        <v>230</v>
      </c>
      <c r="Z577" s="178">
        <f t="shared" si="43"/>
        <v>9963.6</v>
      </c>
      <c r="AA577" s="176">
        <f t="shared" si="44"/>
        <v>34222.799999999996</v>
      </c>
    </row>
    <row r="578" spans="1:38" s="179" customFormat="1" ht="15.75">
      <c r="A578" s="32">
        <v>575</v>
      </c>
      <c r="B578" s="168">
        <v>45953</v>
      </c>
      <c r="C578" s="168">
        <v>45953</v>
      </c>
      <c r="D578" s="169">
        <v>251023007</v>
      </c>
      <c r="E578" s="170" t="s">
        <v>1395</v>
      </c>
      <c r="F578" s="170" t="s">
        <v>1396</v>
      </c>
      <c r="G578" s="170">
        <v>43</v>
      </c>
      <c r="H578" s="183">
        <v>115</v>
      </c>
      <c r="I578" s="36" t="s">
        <v>46</v>
      </c>
      <c r="J578" s="42" t="s">
        <v>23</v>
      </c>
      <c r="K578" s="43" t="s">
        <v>38</v>
      </c>
      <c r="L578" s="170" t="s">
        <v>51</v>
      </c>
      <c r="M578" s="170" t="s">
        <v>48</v>
      </c>
      <c r="N578" s="170">
        <v>58.96</v>
      </c>
      <c r="O578" s="170">
        <v>15.36</v>
      </c>
      <c r="P578" s="173">
        <f t="shared" si="40"/>
        <v>43.6</v>
      </c>
      <c r="Q578" s="174">
        <v>545</v>
      </c>
      <c r="R578" s="175">
        <f t="shared" si="41"/>
        <v>23762</v>
      </c>
      <c r="S578" s="174"/>
      <c r="T578" s="176"/>
      <c r="V578" s="176" t="s">
        <v>24</v>
      </c>
      <c r="W578" s="174">
        <v>145</v>
      </c>
      <c r="X578" s="177">
        <f t="shared" si="42"/>
        <v>6322</v>
      </c>
      <c r="Y578" s="178">
        <v>260</v>
      </c>
      <c r="Z578" s="178">
        <f t="shared" si="43"/>
        <v>11336</v>
      </c>
      <c r="AA578" s="176">
        <f t="shared" si="44"/>
        <v>41420</v>
      </c>
    </row>
    <row r="579" spans="1:38" s="179" customFormat="1" ht="15.75">
      <c r="A579" s="32">
        <v>576</v>
      </c>
      <c r="B579" s="168">
        <v>45953</v>
      </c>
      <c r="C579" s="168">
        <v>45953</v>
      </c>
      <c r="D579" s="169">
        <v>251023013</v>
      </c>
      <c r="E579" s="170" t="s">
        <v>1397</v>
      </c>
      <c r="F579" s="170" t="s">
        <v>1398</v>
      </c>
      <c r="G579" s="170">
        <v>52</v>
      </c>
      <c r="H579" s="183">
        <v>115</v>
      </c>
      <c r="I579" s="36" t="s">
        <v>46</v>
      </c>
      <c r="J579" s="42" t="s">
        <v>23</v>
      </c>
      <c r="K579" s="43" t="s">
        <v>38</v>
      </c>
      <c r="L579" s="170" t="s">
        <v>623</v>
      </c>
      <c r="M579" s="170" t="s">
        <v>55</v>
      </c>
      <c r="N579" s="170">
        <v>71.7</v>
      </c>
      <c r="O579" s="170">
        <v>18.34</v>
      </c>
      <c r="P579" s="173">
        <f t="shared" si="40"/>
        <v>53.36</v>
      </c>
      <c r="Q579" s="174">
        <v>445</v>
      </c>
      <c r="R579" s="175">
        <f t="shared" si="41"/>
        <v>23745.200000000001</v>
      </c>
      <c r="S579" s="174"/>
      <c r="T579" s="176"/>
      <c r="V579" s="176" t="s">
        <v>24</v>
      </c>
      <c r="W579" s="174">
        <v>145</v>
      </c>
      <c r="X579" s="177">
        <f t="shared" si="42"/>
        <v>7737.2</v>
      </c>
      <c r="Y579" s="178">
        <v>260</v>
      </c>
      <c r="Z579" s="178">
        <f t="shared" si="43"/>
        <v>13873.6</v>
      </c>
      <c r="AA579" s="176">
        <f t="shared" si="44"/>
        <v>45356</v>
      </c>
    </row>
    <row r="580" spans="1:38" s="182" customFormat="1" ht="15.75">
      <c r="A580" s="32">
        <v>577</v>
      </c>
      <c r="B580" s="168">
        <v>45953</v>
      </c>
      <c r="C580" s="168">
        <v>45953</v>
      </c>
      <c r="D580" s="169">
        <v>251023008</v>
      </c>
      <c r="E580" s="170" t="s">
        <v>1399</v>
      </c>
      <c r="F580" s="170" t="s">
        <v>1400</v>
      </c>
      <c r="G580" s="170">
        <v>46</v>
      </c>
      <c r="H580" s="183">
        <v>115</v>
      </c>
      <c r="I580" s="36" t="s">
        <v>46</v>
      </c>
      <c r="J580" s="42" t="s">
        <v>23</v>
      </c>
      <c r="K580" s="43" t="s">
        <v>38</v>
      </c>
      <c r="L580" s="170" t="s">
        <v>119</v>
      </c>
      <c r="M580" s="170" t="s">
        <v>48</v>
      </c>
      <c r="N580" s="170">
        <v>65.459999999999994</v>
      </c>
      <c r="O580" s="170">
        <v>18.260000000000002</v>
      </c>
      <c r="P580" s="173">
        <f t="shared" ref="P580:P643" si="45">N580-O580</f>
        <v>47.199999999999989</v>
      </c>
      <c r="Q580" s="174">
        <v>545</v>
      </c>
      <c r="R580" s="175">
        <f t="shared" ref="R580:R643" si="46">Q580*P580</f>
        <v>25723.999999999993</v>
      </c>
      <c r="S580" s="174"/>
      <c r="T580" s="176"/>
      <c r="V580" s="176" t="s">
        <v>24</v>
      </c>
      <c r="W580" s="174">
        <v>145</v>
      </c>
      <c r="X580" s="177">
        <f t="shared" ref="X580:X643" si="47">W580*P580</f>
        <v>6843.9999999999982</v>
      </c>
      <c r="Y580" s="178">
        <v>260</v>
      </c>
      <c r="Z580" s="178">
        <f t="shared" ref="Z580:Z643" si="48">Y580*P580</f>
        <v>12271.999999999996</v>
      </c>
      <c r="AA580" s="176">
        <f t="shared" ref="AA580:AA643" si="49">R580+X580+Z580</f>
        <v>44839.999999999985</v>
      </c>
    </row>
    <row r="581" spans="1:38" s="179" customFormat="1" ht="15.75">
      <c r="A581" s="32">
        <v>578</v>
      </c>
      <c r="B581" s="168">
        <v>45953</v>
      </c>
      <c r="C581" s="168">
        <v>45953</v>
      </c>
      <c r="D581" s="169">
        <v>251023012</v>
      </c>
      <c r="E581" s="170" t="s">
        <v>1401</v>
      </c>
      <c r="F581" s="170" t="s">
        <v>1402</v>
      </c>
      <c r="G581" s="170">
        <v>34</v>
      </c>
      <c r="H581" s="183">
        <v>115</v>
      </c>
      <c r="I581" s="36" t="s">
        <v>46</v>
      </c>
      <c r="J581" s="42" t="s">
        <v>23</v>
      </c>
      <c r="K581" s="43" t="s">
        <v>38</v>
      </c>
      <c r="L581" s="170" t="s">
        <v>39</v>
      </c>
      <c r="M581" s="170" t="s">
        <v>55</v>
      </c>
      <c r="N581" s="181">
        <v>45.12</v>
      </c>
      <c r="O581" s="170">
        <v>10.52</v>
      </c>
      <c r="P581" s="173">
        <f t="shared" si="45"/>
        <v>34.599999999999994</v>
      </c>
      <c r="Q581" s="174">
        <v>445</v>
      </c>
      <c r="R581" s="175">
        <f t="shared" si="46"/>
        <v>15396.999999999998</v>
      </c>
      <c r="S581" s="174"/>
      <c r="T581" s="176"/>
      <c r="V581" s="176" t="s">
        <v>24</v>
      </c>
      <c r="W581" s="174">
        <v>145</v>
      </c>
      <c r="X581" s="177">
        <f t="shared" si="47"/>
        <v>5016.9999999999991</v>
      </c>
      <c r="Y581" s="178">
        <v>260</v>
      </c>
      <c r="Z581" s="176">
        <f t="shared" si="48"/>
        <v>8995.9999999999982</v>
      </c>
      <c r="AA581" s="176">
        <f t="shared" si="49"/>
        <v>29409.999999999993</v>
      </c>
    </row>
    <row r="582" spans="1:38" s="179" customFormat="1" ht="15.75">
      <c r="A582" s="32">
        <v>579</v>
      </c>
      <c r="B582" s="168">
        <v>45953</v>
      </c>
      <c r="C582" s="168">
        <v>45953</v>
      </c>
      <c r="D582" s="169">
        <v>251023009</v>
      </c>
      <c r="E582" s="170" t="s">
        <v>1403</v>
      </c>
      <c r="F582" s="170" t="s">
        <v>1404</v>
      </c>
      <c r="G582" s="170">
        <v>45</v>
      </c>
      <c r="H582" s="183">
        <v>115</v>
      </c>
      <c r="I582" s="36" t="s">
        <v>46</v>
      </c>
      <c r="J582" s="42" t="s">
        <v>23</v>
      </c>
      <c r="K582" s="43" t="s">
        <v>38</v>
      </c>
      <c r="L582" s="170" t="s">
        <v>79</v>
      </c>
      <c r="M582" s="170" t="s">
        <v>48</v>
      </c>
      <c r="N582" s="170">
        <v>61.78</v>
      </c>
      <c r="O582" s="170">
        <v>15.82</v>
      </c>
      <c r="P582" s="173">
        <f t="shared" si="45"/>
        <v>45.96</v>
      </c>
      <c r="Q582" s="174">
        <v>545</v>
      </c>
      <c r="R582" s="175">
        <f t="shared" si="46"/>
        <v>25048.2</v>
      </c>
      <c r="S582" s="174"/>
      <c r="T582" s="176"/>
      <c r="V582" s="176" t="s">
        <v>24</v>
      </c>
      <c r="W582" s="174">
        <v>145</v>
      </c>
      <c r="X582" s="177">
        <f t="shared" si="47"/>
        <v>6664.2</v>
      </c>
      <c r="Y582" s="178">
        <v>260</v>
      </c>
      <c r="Z582" s="176">
        <f t="shared" si="48"/>
        <v>11949.6</v>
      </c>
      <c r="AA582" s="176">
        <f t="shared" si="49"/>
        <v>43662</v>
      </c>
    </row>
    <row r="583" spans="1:38" s="179" customFormat="1" ht="15.75">
      <c r="A583" s="32">
        <v>580</v>
      </c>
      <c r="B583" s="168">
        <v>45953</v>
      </c>
      <c r="C583" s="168">
        <v>45953</v>
      </c>
      <c r="D583" s="169">
        <v>251023010</v>
      </c>
      <c r="E583" s="170" t="s">
        <v>1405</v>
      </c>
      <c r="F583" s="170" t="s">
        <v>1406</v>
      </c>
      <c r="G583" s="170">
        <v>50</v>
      </c>
      <c r="H583" s="183">
        <v>115</v>
      </c>
      <c r="I583" s="36" t="s">
        <v>46</v>
      </c>
      <c r="J583" s="42" t="s">
        <v>23</v>
      </c>
      <c r="K583" s="43" t="s">
        <v>38</v>
      </c>
      <c r="L583" s="170" t="s">
        <v>58</v>
      </c>
      <c r="M583" s="170" t="s">
        <v>48</v>
      </c>
      <c r="N583" s="170">
        <v>66.8</v>
      </c>
      <c r="O583" s="170">
        <v>16.16</v>
      </c>
      <c r="P583" s="173">
        <f t="shared" si="45"/>
        <v>50.64</v>
      </c>
      <c r="Q583" s="174">
        <v>545</v>
      </c>
      <c r="R583" s="175">
        <f t="shared" si="46"/>
        <v>27598.799999999999</v>
      </c>
      <c r="S583" s="174"/>
      <c r="T583" s="176"/>
      <c r="V583" s="176" t="s">
        <v>24</v>
      </c>
      <c r="W583" s="174">
        <v>145</v>
      </c>
      <c r="X583" s="177">
        <f t="shared" si="47"/>
        <v>7342.8</v>
      </c>
      <c r="Y583" s="178">
        <v>260</v>
      </c>
      <c r="Z583" s="178">
        <f t="shared" si="48"/>
        <v>13166.4</v>
      </c>
      <c r="AA583" s="176">
        <f t="shared" si="49"/>
        <v>48108</v>
      </c>
    </row>
    <row r="584" spans="1:38" s="179" customFormat="1" ht="15.75">
      <c r="A584" s="32">
        <v>581</v>
      </c>
      <c r="B584" s="168">
        <v>45953</v>
      </c>
      <c r="C584" s="168">
        <v>45953</v>
      </c>
      <c r="D584" s="169">
        <v>251023011</v>
      </c>
      <c r="E584" s="170" t="s">
        <v>1407</v>
      </c>
      <c r="F584" s="170" t="s">
        <v>1408</v>
      </c>
      <c r="G584" s="170">
        <v>46</v>
      </c>
      <c r="H584" s="183">
        <v>115</v>
      </c>
      <c r="I584" s="36" t="s">
        <v>46</v>
      </c>
      <c r="J584" s="42" t="s">
        <v>23</v>
      </c>
      <c r="K584" s="43" t="s">
        <v>38</v>
      </c>
      <c r="L584" s="170" t="s">
        <v>82</v>
      </c>
      <c r="M584" s="170" t="s">
        <v>48</v>
      </c>
      <c r="N584" s="170">
        <v>62.32</v>
      </c>
      <c r="O584" s="170">
        <v>14.98</v>
      </c>
      <c r="P584" s="173">
        <f t="shared" si="45"/>
        <v>47.34</v>
      </c>
      <c r="Q584" s="174">
        <v>545</v>
      </c>
      <c r="R584" s="175">
        <f t="shared" si="46"/>
        <v>25800.300000000003</v>
      </c>
      <c r="S584" s="174"/>
      <c r="T584" s="176"/>
      <c r="V584" s="176" t="s">
        <v>24</v>
      </c>
      <c r="W584" s="174">
        <v>145</v>
      </c>
      <c r="X584" s="177">
        <f t="shared" si="47"/>
        <v>6864.3</v>
      </c>
      <c r="Y584" s="178">
        <v>260</v>
      </c>
      <c r="Z584" s="178">
        <f t="shared" si="48"/>
        <v>12308.400000000001</v>
      </c>
      <c r="AA584" s="176">
        <f t="shared" si="49"/>
        <v>44973</v>
      </c>
    </row>
    <row r="585" spans="1:38" s="179" customFormat="1" ht="17.100000000000001" customHeight="1">
      <c r="A585" s="32">
        <v>582</v>
      </c>
      <c r="B585" s="168">
        <v>45953</v>
      </c>
      <c r="C585" s="168">
        <v>45953</v>
      </c>
      <c r="D585" s="169">
        <v>251023015</v>
      </c>
      <c r="E585" s="170" t="s">
        <v>1409</v>
      </c>
      <c r="F585" s="170" t="s">
        <v>1410</v>
      </c>
      <c r="G585" s="170">
        <v>53</v>
      </c>
      <c r="H585" s="183">
        <v>115</v>
      </c>
      <c r="I585" s="36" t="s">
        <v>46</v>
      </c>
      <c r="J585" s="42" t="s">
        <v>23</v>
      </c>
      <c r="K585" s="43" t="s">
        <v>38</v>
      </c>
      <c r="L585" s="170" t="s">
        <v>134</v>
      </c>
      <c r="M585" s="170" t="s">
        <v>55</v>
      </c>
      <c r="N585" s="170">
        <v>68.7</v>
      </c>
      <c r="O585" s="170">
        <v>15.66</v>
      </c>
      <c r="P585" s="173">
        <f t="shared" si="45"/>
        <v>53.040000000000006</v>
      </c>
      <c r="Q585" s="174">
        <v>445</v>
      </c>
      <c r="R585" s="175">
        <f t="shared" si="46"/>
        <v>23602.800000000003</v>
      </c>
      <c r="S585" s="174"/>
      <c r="T585" s="176"/>
      <c r="V585" s="176" t="s">
        <v>24</v>
      </c>
      <c r="W585" s="174">
        <v>145</v>
      </c>
      <c r="X585" s="177">
        <f t="shared" si="47"/>
        <v>7690.8000000000011</v>
      </c>
      <c r="Y585" s="178">
        <v>260</v>
      </c>
      <c r="Z585" s="178">
        <f t="shared" si="48"/>
        <v>13790.400000000001</v>
      </c>
      <c r="AA585" s="176">
        <f t="shared" si="49"/>
        <v>45084.000000000007</v>
      </c>
      <c r="AB585" s="188"/>
      <c r="AC585" s="187"/>
      <c r="AD585" s="189"/>
      <c r="AE585" s="190"/>
      <c r="AF585" s="187"/>
      <c r="AG585" s="190"/>
      <c r="AH585" s="187"/>
      <c r="AI585" s="189"/>
      <c r="AJ585" s="187"/>
      <c r="AK585" s="189"/>
      <c r="AL585" s="189"/>
    </row>
    <row r="586" spans="1:38" s="179" customFormat="1" ht="15.75">
      <c r="A586" s="32">
        <v>583</v>
      </c>
      <c r="B586" s="168">
        <v>45953</v>
      </c>
      <c r="C586" s="168">
        <v>45953</v>
      </c>
      <c r="D586" s="169">
        <v>251023014</v>
      </c>
      <c r="E586" s="170" t="s">
        <v>1411</v>
      </c>
      <c r="F586" s="170" t="s">
        <v>1412</v>
      </c>
      <c r="G586" s="170">
        <v>55</v>
      </c>
      <c r="H586" s="183">
        <v>115</v>
      </c>
      <c r="I586" s="36" t="s">
        <v>46</v>
      </c>
      <c r="J586" s="42" t="s">
        <v>23</v>
      </c>
      <c r="K586" s="43" t="s">
        <v>38</v>
      </c>
      <c r="L586" s="170" t="s">
        <v>404</v>
      </c>
      <c r="M586" s="170" t="s">
        <v>55</v>
      </c>
      <c r="N586" s="170">
        <v>73.48</v>
      </c>
      <c r="O586" s="170">
        <v>18.32</v>
      </c>
      <c r="P586" s="173">
        <f t="shared" si="45"/>
        <v>55.160000000000004</v>
      </c>
      <c r="Q586" s="174">
        <v>445</v>
      </c>
      <c r="R586" s="175">
        <f t="shared" si="46"/>
        <v>24546.2</v>
      </c>
      <c r="S586" s="174"/>
      <c r="T586" s="176"/>
      <c r="V586" s="176" t="s">
        <v>24</v>
      </c>
      <c r="W586" s="174">
        <v>145</v>
      </c>
      <c r="X586" s="177">
        <f t="shared" si="47"/>
        <v>7998.2000000000007</v>
      </c>
      <c r="Y586" s="178">
        <v>260</v>
      </c>
      <c r="Z586" s="178">
        <f t="shared" si="48"/>
        <v>14341.6</v>
      </c>
      <c r="AA586" s="176">
        <f t="shared" si="49"/>
        <v>46886</v>
      </c>
    </row>
    <row r="587" spans="1:38" s="179" customFormat="1" ht="15.75">
      <c r="A587" s="32">
        <v>584</v>
      </c>
      <c r="B587" s="168">
        <v>45953</v>
      </c>
      <c r="C587" s="168">
        <v>45953</v>
      </c>
      <c r="D587" s="169">
        <v>251023016</v>
      </c>
      <c r="E587" s="170" t="s">
        <v>1413</v>
      </c>
      <c r="F587" s="170" t="s">
        <v>1414</v>
      </c>
      <c r="G587" s="170">
        <v>55</v>
      </c>
      <c r="H587" s="183">
        <v>115</v>
      </c>
      <c r="I587" s="36" t="s">
        <v>46</v>
      </c>
      <c r="J587" s="42" t="s">
        <v>23</v>
      </c>
      <c r="K587" s="43" t="s">
        <v>38</v>
      </c>
      <c r="L587" s="170" t="s">
        <v>1415</v>
      </c>
      <c r="M587" s="170" t="s">
        <v>55</v>
      </c>
      <c r="N587" s="170">
        <v>73.36</v>
      </c>
      <c r="O587" s="181">
        <v>17.899999999999999</v>
      </c>
      <c r="P587" s="173">
        <f t="shared" si="45"/>
        <v>55.46</v>
      </c>
      <c r="Q587" s="174">
        <v>445</v>
      </c>
      <c r="R587" s="175">
        <f t="shared" si="46"/>
        <v>24679.7</v>
      </c>
      <c r="S587" s="174"/>
      <c r="T587" s="176"/>
      <c r="V587" s="176" t="s">
        <v>24</v>
      </c>
      <c r="W587" s="174">
        <v>145</v>
      </c>
      <c r="X587" s="177">
        <f t="shared" si="47"/>
        <v>8041.7</v>
      </c>
      <c r="Y587" s="178">
        <v>260</v>
      </c>
      <c r="Z587" s="178">
        <f t="shared" si="48"/>
        <v>14419.6</v>
      </c>
      <c r="AA587" s="176">
        <f t="shared" si="49"/>
        <v>47141</v>
      </c>
    </row>
    <row r="588" spans="1:38" s="179" customFormat="1" ht="15.75">
      <c r="A588" s="32">
        <v>585</v>
      </c>
      <c r="B588" s="168">
        <v>45953</v>
      </c>
      <c r="C588" s="168">
        <v>45953</v>
      </c>
      <c r="D588" s="169" t="s">
        <v>1416</v>
      </c>
      <c r="E588" s="170"/>
      <c r="F588" s="170"/>
      <c r="G588" s="170"/>
      <c r="H588" s="180"/>
      <c r="I588" s="36" t="s">
        <v>933</v>
      </c>
      <c r="J588" s="42" t="s">
        <v>23</v>
      </c>
      <c r="K588" s="43" t="s">
        <v>30</v>
      </c>
      <c r="L588" s="170" t="s">
        <v>934</v>
      </c>
      <c r="M588" s="170" t="s">
        <v>31</v>
      </c>
      <c r="N588" s="170">
        <v>9.36</v>
      </c>
      <c r="O588" s="170">
        <v>3.52</v>
      </c>
      <c r="P588" s="173">
        <f t="shared" si="45"/>
        <v>5.84</v>
      </c>
      <c r="Q588" s="174">
        <v>150</v>
      </c>
      <c r="R588" s="175">
        <f t="shared" si="46"/>
        <v>876</v>
      </c>
      <c r="S588" s="174">
        <v>876</v>
      </c>
      <c r="T588" s="176"/>
      <c r="V588" s="176" t="s">
        <v>24</v>
      </c>
      <c r="W588" s="174"/>
      <c r="X588" s="177">
        <f t="shared" si="47"/>
        <v>0</v>
      </c>
      <c r="Y588" s="178"/>
      <c r="Z588" s="178">
        <f t="shared" si="48"/>
        <v>0</v>
      </c>
      <c r="AA588" s="176">
        <f t="shared" si="49"/>
        <v>876</v>
      </c>
    </row>
    <row r="589" spans="1:38" s="179" customFormat="1" ht="15.75">
      <c r="A589" s="32">
        <v>586</v>
      </c>
      <c r="B589" s="168">
        <v>45953</v>
      </c>
      <c r="C589" s="168">
        <v>45953</v>
      </c>
      <c r="D589" s="169" t="s">
        <v>1417</v>
      </c>
      <c r="E589" s="170"/>
      <c r="F589" s="170"/>
      <c r="G589" s="170"/>
      <c r="H589" s="180"/>
      <c r="I589" s="36" t="s">
        <v>933</v>
      </c>
      <c r="J589" s="42" t="s">
        <v>23</v>
      </c>
      <c r="K589" s="43" t="s">
        <v>30</v>
      </c>
      <c r="L589" s="170" t="s">
        <v>934</v>
      </c>
      <c r="M589" s="170" t="s">
        <v>31</v>
      </c>
      <c r="N589" s="170">
        <v>9.14</v>
      </c>
      <c r="O589" s="170">
        <v>3.27</v>
      </c>
      <c r="P589" s="173">
        <f t="shared" si="45"/>
        <v>5.870000000000001</v>
      </c>
      <c r="Q589" s="174">
        <v>150</v>
      </c>
      <c r="R589" s="175">
        <f t="shared" si="46"/>
        <v>880.50000000000011</v>
      </c>
      <c r="S589" s="174">
        <v>881</v>
      </c>
      <c r="T589" s="176"/>
      <c r="V589" s="176" t="s">
        <v>24</v>
      </c>
      <c r="W589" s="174"/>
      <c r="X589" s="177">
        <f t="shared" si="47"/>
        <v>0</v>
      </c>
      <c r="Y589" s="178"/>
      <c r="Z589" s="178">
        <f t="shared" si="48"/>
        <v>0</v>
      </c>
      <c r="AA589" s="176">
        <f t="shared" si="49"/>
        <v>880.50000000000011</v>
      </c>
    </row>
    <row r="590" spans="1:38" s="182" customFormat="1" ht="15.75">
      <c r="A590" s="32">
        <v>587</v>
      </c>
      <c r="B590" s="168">
        <v>45953</v>
      </c>
      <c r="C590" s="168">
        <v>45953</v>
      </c>
      <c r="D590" s="169" t="s">
        <v>1418</v>
      </c>
      <c r="E590" s="170"/>
      <c r="F590" s="170"/>
      <c r="G590" s="170"/>
      <c r="H590" s="180"/>
      <c r="I590" s="36" t="s">
        <v>1188</v>
      </c>
      <c r="J590" s="42" t="s">
        <v>23</v>
      </c>
      <c r="K590" s="43" t="s">
        <v>30</v>
      </c>
      <c r="L590" s="170" t="s">
        <v>1189</v>
      </c>
      <c r="M590" s="170" t="s">
        <v>31</v>
      </c>
      <c r="N590" s="181">
        <v>8.5</v>
      </c>
      <c r="O590" s="170">
        <v>3.46</v>
      </c>
      <c r="P590" s="173">
        <f t="shared" si="45"/>
        <v>5.04</v>
      </c>
      <c r="Q590" s="174">
        <v>150</v>
      </c>
      <c r="R590" s="175">
        <f t="shared" si="46"/>
        <v>756</v>
      </c>
      <c r="S590" s="174">
        <v>756</v>
      </c>
      <c r="T590" s="176"/>
      <c r="V590" s="176" t="s">
        <v>24</v>
      </c>
      <c r="W590" s="174"/>
      <c r="X590" s="177">
        <f t="shared" si="47"/>
        <v>0</v>
      </c>
      <c r="Y590" s="178"/>
      <c r="Z590" s="176">
        <f t="shared" si="48"/>
        <v>0</v>
      </c>
      <c r="AA590" s="176">
        <f t="shared" si="49"/>
        <v>756</v>
      </c>
    </row>
    <row r="591" spans="1:38" s="179" customFormat="1" ht="15.75">
      <c r="A591" s="32">
        <v>588</v>
      </c>
      <c r="B591" s="168">
        <v>45953</v>
      </c>
      <c r="C591" s="168">
        <v>45953</v>
      </c>
      <c r="D591" s="169" t="s">
        <v>1419</v>
      </c>
      <c r="E591" s="170"/>
      <c r="F591" s="170"/>
      <c r="G591" s="170"/>
      <c r="H591" s="180"/>
      <c r="I591" s="36" t="s">
        <v>1420</v>
      </c>
      <c r="J591" s="42" t="s">
        <v>23</v>
      </c>
      <c r="K591" s="43" t="s">
        <v>30</v>
      </c>
      <c r="L591" s="170" t="s">
        <v>1421</v>
      </c>
      <c r="M591" s="170" t="s">
        <v>48</v>
      </c>
      <c r="N591" s="170">
        <v>19.18</v>
      </c>
      <c r="O591" s="170">
        <v>7.36</v>
      </c>
      <c r="P591" s="173">
        <f t="shared" si="45"/>
        <v>11.82</v>
      </c>
      <c r="Q591" s="174">
        <v>550</v>
      </c>
      <c r="R591" s="175">
        <f t="shared" si="46"/>
        <v>6501</v>
      </c>
      <c r="S591" s="174">
        <v>6501</v>
      </c>
      <c r="T591" s="176"/>
      <c r="V591" s="176" t="s">
        <v>24</v>
      </c>
      <c r="W591" s="174"/>
      <c r="X591" s="177">
        <f t="shared" si="47"/>
        <v>0</v>
      </c>
      <c r="Y591" s="178"/>
      <c r="Z591" s="176">
        <f t="shared" si="48"/>
        <v>0</v>
      </c>
      <c r="AA591" s="176">
        <f t="shared" si="49"/>
        <v>6501</v>
      </c>
    </row>
    <row r="592" spans="1:38" s="179" customFormat="1" ht="15.75">
      <c r="A592" s="32">
        <v>589</v>
      </c>
      <c r="B592" s="168">
        <v>45953</v>
      </c>
      <c r="C592" s="168">
        <v>45954</v>
      </c>
      <c r="D592" s="202">
        <v>251024001</v>
      </c>
      <c r="E592" s="170" t="s">
        <v>1422</v>
      </c>
      <c r="F592" s="170" t="s">
        <v>1423</v>
      </c>
      <c r="G592" s="170">
        <v>37</v>
      </c>
      <c r="H592" s="183">
        <v>115</v>
      </c>
      <c r="I592" s="36" t="s">
        <v>46</v>
      </c>
      <c r="J592" s="42" t="s">
        <v>23</v>
      </c>
      <c r="K592" s="43" t="s">
        <v>38</v>
      </c>
      <c r="L592" s="170" t="s">
        <v>113</v>
      </c>
      <c r="M592" s="170" t="s">
        <v>55</v>
      </c>
      <c r="N592" s="170">
        <v>49.56</v>
      </c>
      <c r="O592" s="170">
        <v>11.92</v>
      </c>
      <c r="P592" s="173">
        <f t="shared" si="45"/>
        <v>37.64</v>
      </c>
      <c r="Q592" s="174">
        <v>445</v>
      </c>
      <c r="R592" s="175">
        <f t="shared" si="46"/>
        <v>16749.8</v>
      </c>
      <c r="S592" s="174"/>
      <c r="T592" s="176"/>
      <c r="V592" s="176" t="s">
        <v>24</v>
      </c>
      <c r="W592" s="174">
        <v>145</v>
      </c>
      <c r="X592" s="177">
        <f t="shared" si="47"/>
        <v>5457.8</v>
      </c>
      <c r="Y592" s="178">
        <v>260</v>
      </c>
      <c r="Z592" s="176">
        <f t="shared" si="48"/>
        <v>9786.4</v>
      </c>
      <c r="AA592" s="176">
        <f t="shared" si="49"/>
        <v>31994</v>
      </c>
    </row>
    <row r="593" spans="1:27" s="182" customFormat="1" ht="15.75">
      <c r="A593" s="32">
        <v>590</v>
      </c>
      <c r="B593" s="168">
        <v>45953</v>
      </c>
      <c r="C593" s="168">
        <v>45954</v>
      </c>
      <c r="D593" s="203">
        <v>251024002</v>
      </c>
      <c r="E593" s="170" t="s">
        <v>1424</v>
      </c>
      <c r="F593" s="170" t="s">
        <v>1425</v>
      </c>
      <c r="G593" s="170">
        <v>47</v>
      </c>
      <c r="H593" s="183">
        <v>115</v>
      </c>
      <c r="I593" s="36" t="s">
        <v>46</v>
      </c>
      <c r="J593" s="42" t="s">
        <v>23</v>
      </c>
      <c r="K593" s="43" t="s">
        <v>38</v>
      </c>
      <c r="L593" s="170" t="s">
        <v>116</v>
      </c>
      <c r="M593" s="170" t="s">
        <v>48</v>
      </c>
      <c r="N593" s="170">
        <v>62.9</v>
      </c>
      <c r="O593" s="170">
        <v>15.08</v>
      </c>
      <c r="P593" s="173">
        <f t="shared" si="45"/>
        <v>47.82</v>
      </c>
      <c r="Q593" s="174">
        <v>545</v>
      </c>
      <c r="R593" s="175">
        <f t="shared" si="46"/>
        <v>26061.9</v>
      </c>
      <c r="S593" s="174"/>
      <c r="T593" s="176"/>
      <c r="V593" s="176" t="s">
        <v>24</v>
      </c>
      <c r="W593" s="174">
        <v>145</v>
      </c>
      <c r="X593" s="177">
        <f t="shared" si="47"/>
        <v>6933.9</v>
      </c>
      <c r="Y593" s="178">
        <v>260</v>
      </c>
      <c r="Z593" s="176">
        <f t="shared" si="48"/>
        <v>12433.2</v>
      </c>
      <c r="AA593" s="176">
        <f t="shared" si="49"/>
        <v>45429</v>
      </c>
    </row>
    <row r="594" spans="1:27" s="179" customFormat="1" ht="15.75">
      <c r="A594" s="32">
        <v>591</v>
      </c>
      <c r="B594" s="168">
        <v>45953</v>
      </c>
      <c r="C594" s="168">
        <v>45954</v>
      </c>
      <c r="D594" s="203">
        <v>251024003</v>
      </c>
      <c r="E594" s="170" t="s">
        <v>1426</v>
      </c>
      <c r="F594" s="170" t="s">
        <v>1427</v>
      </c>
      <c r="G594" s="170">
        <v>50</v>
      </c>
      <c r="H594" s="183">
        <v>115</v>
      </c>
      <c r="I594" s="36" t="s">
        <v>46</v>
      </c>
      <c r="J594" s="42" t="s">
        <v>23</v>
      </c>
      <c r="K594" s="43" t="s">
        <v>38</v>
      </c>
      <c r="L594" s="170" t="s">
        <v>76</v>
      </c>
      <c r="M594" s="170" t="s">
        <v>48</v>
      </c>
      <c r="N594" s="170">
        <v>70.2</v>
      </c>
      <c r="O594" s="170">
        <v>18.98</v>
      </c>
      <c r="P594" s="173">
        <f t="shared" si="45"/>
        <v>51.22</v>
      </c>
      <c r="Q594" s="174">
        <v>545</v>
      </c>
      <c r="R594" s="175">
        <f t="shared" si="46"/>
        <v>27914.899999999998</v>
      </c>
      <c r="S594" s="174"/>
      <c r="T594" s="176"/>
      <c r="V594" s="176" t="s">
        <v>24</v>
      </c>
      <c r="W594" s="174">
        <v>145</v>
      </c>
      <c r="X594" s="177">
        <f t="shared" si="47"/>
        <v>7426.9</v>
      </c>
      <c r="Y594" s="178">
        <v>260</v>
      </c>
      <c r="Z594" s="176">
        <f t="shared" si="48"/>
        <v>13317.199999999999</v>
      </c>
      <c r="AA594" s="176">
        <f t="shared" si="49"/>
        <v>48658.999999999993</v>
      </c>
    </row>
    <row r="595" spans="1:27" s="179" customFormat="1" ht="15.75">
      <c r="A595" s="32">
        <v>592</v>
      </c>
      <c r="B595" s="168">
        <v>45953</v>
      </c>
      <c r="C595" s="168">
        <v>45954</v>
      </c>
      <c r="D595" s="203">
        <v>251024004</v>
      </c>
      <c r="E595" s="170" t="s">
        <v>1428</v>
      </c>
      <c r="F595" s="170" t="s">
        <v>1429</v>
      </c>
      <c r="G595" s="170">
        <v>38</v>
      </c>
      <c r="H595" s="183">
        <v>115</v>
      </c>
      <c r="I595" s="36" t="s">
        <v>46</v>
      </c>
      <c r="J595" s="42" t="s">
        <v>23</v>
      </c>
      <c r="K595" s="43" t="s">
        <v>38</v>
      </c>
      <c r="L595" s="170" t="s">
        <v>101</v>
      </c>
      <c r="M595" s="170" t="s">
        <v>55</v>
      </c>
      <c r="N595" s="170">
        <v>49.98</v>
      </c>
      <c r="O595" s="170">
        <v>11.6</v>
      </c>
      <c r="P595" s="173">
        <f t="shared" si="45"/>
        <v>38.379999999999995</v>
      </c>
      <c r="Q595" s="174">
        <v>445</v>
      </c>
      <c r="R595" s="175">
        <f t="shared" si="46"/>
        <v>17079.099999999999</v>
      </c>
      <c r="S595" s="174"/>
      <c r="T595" s="176"/>
      <c r="V595" s="176" t="s">
        <v>24</v>
      </c>
      <c r="W595" s="174">
        <v>145</v>
      </c>
      <c r="X595" s="177">
        <f t="shared" si="47"/>
        <v>5565.0999999999995</v>
      </c>
      <c r="Y595" s="178">
        <v>260</v>
      </c>
      <c r="Z595" s="176">
        <f t="shared" si="48"/>
        <v>9978.7999999999993</v>
      </c>
      <c r="AA595" s="176">
        <f t="shared" si="49"/>
        <v>32622.999999999996</v>
      </c>
    </row>
    <row r="596" spans="1:27" s="179" customFormat="1" ht="15.75">
      <c r="A596" s="32">
        <v>593</v>
      </c>
      <c r="B596" s="168">
        <v>45953</v>
      </c>
      <c r="C596" s="168">
        <v>45954</v>
      </c>
      <c r="D596" s="203">
        <v>251024005</v>
      </c>
      <c r="E596" s="170" t="s">
        <v>1430</v>
      </c>
      <c r="F596" s="170" t="s">
        <v>1431</v>
      </c>
      <c r="G596" s="170">
        <v>49</v>
      </c>
      <c r="H596" s="183">
        <v>115</v>
      </c>
      <c r="I596" s="36" t="s">
        <v>46</v>
      </c>
      <c r="J596" s="42" t="s">
        <v>23</v>
      </c>
      <c r="K596" s="43" t="s">
        <v>38</v>
      </c>
      <c r="L596" s="170" t="s">
        <v>64</v>
      </c>
      <c r="M596" s="170" t="s">
        <v>48</v>
      </c>
      <c r="N596" s="170">
        <v>65.88</v>
      </c>
      <c r="O596" s="170">
        <v>16.5</v>
      </c>
      <c r="P596" s="173">
        <f t="shared" si="45"/>
        <v>49.379999999999995</v>
      </c>
      <c r="Q596" s="174">
        <v>545</v>
      </c>
      <c r="R596" s="175">
        <f t="shared" si="46"/>
        <v>26912.1</v>
      </c>
      <c r="S596" s="174"/>
      <c r="T596" s="176"/>
      <c r="V596" s="176" t="s">
        <v>24</v>
      </c>
      <c r="W596" s="174">
        <v>145</v>
      </c>
      <c r="X596" s="177">
        <f t="shared" si="47"/>
        <v>7160.0999999999995</v>
      </c>
      <c r="Y596" s="178">
        <v>260</v>
      </c>
      <c r="Z596" s="176">
        <f t="shared" si="48"/>
        <v>12838.8</v>
      </c>
      <c r="AA596" s="176">
        <f t="shared" si="49"/>
        <v>46911</v>
      </c>
    </row>
    <row r="597" spans="1:27" s="179" customFormat="1" ht="15.75">
      <c r="A597" s="32">
        <v>594</v>
      </c>
      <c r="B597" s="168">
        <v>45953</v>
      </c>
      <c r="C597" s="168">
        <v>45954</v>
      </c>
      <c r="D597" s="203">
        <v>251024006</v>
      </c>
      <c r="E597" s="170" t="s">
        <v>1432</v>
      </c>
      <c r="F597" s="170" t="s">
        <v>1433</v>
      </c>
      <c r="G597" s="170">
        <v>32</v>
      </c>
      <c r="H597" s="183">
        <v>115</v>
      </c>
      <c r="I597" s="36" t="s">
        <v>46</v>
      </c>
      <c r="J597" s="42" t="s">
        <v>23</v>
      </c>
      <c r="K597" s="43" t="s">
        <v>38</v>
      </c>
      <c r="L597" s="170" t="s">
        <v>39</v>
      </c>
      <c r="M597" s="170" t="s">
        <v>55</v>
      </c>
      <c r="N597" s="170">
        <v>43.16</v>
      </c>
      <c r="O597" s="170">
        <v>10.52</v>
      </c>
      <c r="P597" s="173">
        <f t="shared" si="45"/>
        <v>32.64</v>
      </c>
      <c r="Q597" s="174">
        <v>445</v>
      </c>
      <c r="R597" s="175">
        <f t="shared" si="46"/>
        <v>14524.800000000001</v>
      </c>
      <c r="S597" s="174"/>
      <c r="T597" s="176"/>
      <c r="V597" s="176" t="s">
        <v>24</v>
      </c>
      <c r="W597" s="174">
        <v>145</v>
      </c>
      <c r="X597" s="177">
        <f t="shared" si="47"/>
        <v>4732.8</v>
      </c>
      <c r="Y597" s="178">
        <v>260</v>
      </c>
      <c r="Z597" s="176">
        <f t="shared" si="48"/>
        <v>8486.4</v>
      </c>
      <c r="AA597" s="176">
        <f t="shared" si="49"/>
        <v>27744</v>
      </c>
    </row>
    <row r="598" spans="1:27" s="179" customFormat="1" ht="15.75">
      <c r="A598" s="32">
        <v>595</v>
      </c>
      <c r="B598" s="168">
        <v>45953</v>
      </c>
      <c r="C598" s="168">
        <v>45954</v>
      </c>
      <c r="D598" s="203">
        <v>251024007</v>
      </c>
      <c r="E598" s="170" t="s">
        <v>1434</v>
      </c>
      <c r="F598" s="170" t="s">
        <v>1435</v>
      </c>
      <c r="G598" s="170">
        <v>32</v>
      </c>
      <c r="H598" s="201">
        <v>125</v>
      </c>
      <c r="I598" s="36" t="s">
        <v>1436</v>
      </c>
      <c r="J598" s="42" t="s">
        <v>23</v>
      </c>
      <c r="K598" s="36" t="s">
        <v>38</v>
      </c>
      <c r="L598" s="170" t="s">
        <v>190</v>
      </c>
      <c r="M598" s="170" t="s">
        <v>48</v>
      </c>
      <c r="N598" s="170">
        <v>45.68</v>
      </c>
      <c r="O598" s="170">
        <v>12.04</v>
      </c>
      <c r="P598" s="173">
        <f t="shared" si="45"/>
        <v>33.64</v>
      </c>
      <c r="Q598" s="174">
        <v>595</v>
      </c>
      <c r="R598" s="175">
        <f t="shared" si="46"/>
        <v>20015.8</v>
      </c>
      <c r="S598" s="174"/>
      <c r="T598" s="176"/>
      <c r="V598" s="176" t="s">
        <v>24</v>
      </c>
      <c r="W598" s="174">
        <v>145</v>
      </c>
      <c r="X598" s="177">
        <f t="shared" si="47"/>
        <v>4877.8</v>
      </c>
      <c r="Y598" s="178">
        <v>250</v>
      </c>
      <c r="Z598" s="176">
        <f t="shared" si="48"/>
        <v>8410</v>
      </c>
      <c r="AA598" s="176">
        <f t="shared" si="49"/>
        <v>33303.599999999999</v>
      </c>
    </row>
    <row r="599" spans="1:27" s="179" customFormat="1" ht="15.75">
      <c r="A599" s="32">
        <v>596</v>
      </c>
      <c r="B599" s="168">
        <v>45953</v>
      </c>
      <c r="C599" s="168">
        <v>45954</v>
      </c>
      <c r="D599" s="203">
        <v>251024008</v>
      </c>
      <c r="E599" s="170" t="s">
        <v>1437</v>
      </c>
      <c r="F599" s="170" t="s">
        <v>1438</v>
      </c>
      <c r="G599" s="170">
        <v>35</v>
      </c>
      <c r="H599" s="201">
        <v>125</v>
      </c>
      <c r="I599" s="36" t="s">
        <v>1436</v>
      </c>
      <c r="J599" s="42" t="s">
        <v>23</v>
      </c>
      <c r="K599" s="36" t="s">
        <v>38</v>
      </c>
      <c r="L599" s="170" t="s">
        <v>149</v>
      </c>
      <c r="M599" s="170" t="s">
        <v>421</v>
      </c>
      <c r="N599" s="170">
        <v>47.48</v>
      </c>
      <c r="O599" s="170">
        <v>12.08</v>
      </c>
      <c r="P599" s="173">
        <f t="shared" si="45"/>
        <v>35.4</v>
      </c>
      <c r="Q599" s="174">
        <v>495</v>
      </c>
      <c r="R599" s="175">
        <f t="shared" si="46"/>
        <v>17523</v>
      </c>
      <c r="S599" s="174"/>
      <c r="T599" s="176"/>
      <c r="V599" s="176" t="s">
        <v>24</v>
      </c>
      <c r="W599" s="174">
        <v>145</v>
      </c>
      <c r="X599" s="177">
        <f t="shared" si="47"/>
        <v>5133</v>
      </c>
      <c r="Y599" s="178">
        <v>250</v>
      </c>
      <c r="Z599" s="176">
        <f t="shared" si="48"/>
        <v>8850</v>
      </c>
      <c r="AA599" s="176">
        <f t="shared" si="49"/>
        <v>31506</v>
      </c>
    </row>
    <row r="600" spans="1:27" s="182" customFormat="1" ht="15.75">
      <c r="A600" s="32">
        <v>597</v>
      </c>
      <c r="B600" s="168">
        <v>45953</v>
      </c>
      <c r="C600" s="168">
        <v>45954</v>
      </c>
      <c r="D600" s="203">
        <v>251024009</v>
      </c>
      <c r="E600" s="170" t="s">
        <v>1439</v>
      </c>
      <c r="F600" s="170" t="s">
        <v>1440</v>
      </c>
      <c r="G600" s="170">
        <v>41</v>
      </c>
      <c r="H600" s="183">
        <v>115</v>
      </c>
      <c r="I600" s="36" t="s">
        <v>46</v>
      </c>
      <c r="J600" s="42" t="s">
        <v>23</v>
      </c>
      <c r="K600" s="43" t="s">
        <v>38</v>
      </c>
      <c r="L600" s="170" t="s">
        <v>70</v>
      </c>
      <c r="M600" s="170" t="s">
        <v>55</v>
      </c>
      <c r="N600" s="170">
        <v>53.34</v>
      </c>
      <c r="O600" s="170">
        <v>12.24</v>
      </c>
      <c r="P600" s="173">
        <f t="shared" si="45"/>
        <v>41.1</v>
      </c>
      <c r="Q600" s="174">
        <v>445</v>
      </c>
      <c r="R600" s="175">
        <f t="shared" si="46"/>
        <v>18289.5</v>
      </c>
      <c r="S600" s="174"/>
      <c r="T600" s="176"/>
      <c r="V600" s="176" t="s">
        <v>24</v>
      </c>
      <c r="W600" s="174">
        <v>145</v>
      </c>
      <c r="X600" s="177">
        <f t="shared" si="47"/>
        <v>5959.5</v>
      </c>
      <c r="Y600" s="178">
        <v>260</v>
      </c>
      <c r="Z600" s="176">
        <f t="shared" si="48"/>
        <v>10686</v>
      </c>
      <c r="AA600" s="176">
        <f t="shared" si="49"/>
        <v>34935</v>
      </c>
    </row>
    <row r="601" spans="1:27" s="182" customFormat="1" ht="15.75">
      <c r="A601" s="32">
        <v>598</v>
      </c>
      <c r="B601" s="168">
        <v>45953</v>
      </c>
      <c r="C601" s="168">
        <v>45954</v>
      </c>
      <c r="D601" s="203">
        <v>251024010</v>
      </c>
      <c r="E601" s="170" t="s">
        <v>1441</v>
      </c>
      <c r="F601" s="170" t="s">
        <v>1442</v>
      </c>
      <c r="G601" s="170">
        <v>35</v>
      </c>
      <c r="H601" s="183">
        <v>115</v>
      </c>
      <c r="I601" s="36" t="s">
        <v>46</v>
      </c>
      <c r="J601" s="42" t="s">
        <v>23</v>
      </c>
      <c r="K601" s="43" t="s">
        <v>38</v>
      </c>
      <c r="L601" s="170" t="s">
        <v>142</v>
      </c>
      <c r="M601" s="170" t="s">
        <v>48</v>
      </c>
      <c r="N601" s="170">
        <v>47.36</v>
      </c>
      <c r="O601" s="170">
        <v>11.98</v>
      </c>
      <c r="P601" s="173">
        <f t="shared" si="45"/>
        <v>35.379999999999995</v>
      </c>
      <c r="Q601" s="174">
        <v>545</v>
      </c>
      <c r="R601" s="175">
        <f t="shared" si="46"/>
        <v>19282.099999999999</v>
      </c>
      <c r="S601" s="174"/>
      <c r="T601" s="176"/>
      <c r="V601" s="176" t="s">
        <v>24</v>
      </c>
      <c r="W601" s="174">
        <v>145</v>
      </c>
      <c r="X601" s="177">
        <f t="shared" si="47"/>
        <v>5130.0999999999995</v>
      </c>
      <c r="Y601" s="178">
        <v>260</v>
      </c>
      <c r="Z601" s="176">
        <f t="shared" si="48"/>
        <v>9198.7999999999993</v>
      </c>
      <c r="AA601" s="176">
        <f t="shared" si="49"/>
        <v>33611</v>
      </c>
    </row>
    <row r="602" spans="1:27" s="179" customFormat="1" ht="15.75">
      <c r="A602" s="32">
        <v>599</v>
      </c>
      <c r="B602" s="168">
        <v>45954</v>
      </c>
      <c r="C602" s="168">
        <v>45954</v>
      </c>
      <c r="D602" s="169">
        <v>251024011</v>
      </c>
      <c r="E602" s="170" t="s">
        <v>1443</v>
      </c>
      <c r="F602" s="170" t="s">
        <v>1444</v>
      </c>
      <c r="G602" s="170">
        <v>52</v>
      </c>
      <c r="H602" s="201">
        <v>125</v>
      </c>
      <c r="I602" s="36" t="s">
        <v>1436</v>
      </c>
      <c r="J602" s="42" t="s">
        <v>23</v>
      </c>
      <c r="K602" s="36" t="s">
        <v>38</v>
      </c>
      <c r="L602" s="170" t="s">
        <v>1110</v>
      </c>
      <c r="M602" s="170" t="s">
        <v>48</v>
      </c>
      <c r="N602" s="170">
        <v>67.78</v>
      </c>
      <c r="O602" s="170">
        <v>15.14</v>
      </c>
      <c r="P602" s="173">
        <f t="shared" si="45"/>
        <v>52.64</v>
      </c>
      <c r="Q602" s="174">
        <v>595</v>
      </c>
      <c r="R602" s="175">
        <f t="shared" si="46"/>
        <v>31320.799999999999</v>
      </c>
      <c r="S602" s="174"/>
      <c r="T602" s="176"/>
      <c r="V602" s="176" t="s">
        <v>24</v>
      </c>
      <c r="W602" s="174">
        <v>145</v>
      </c>
      <c r="X602" s="177">
        <f t="shared" si="47"/>
        <v>7632.8</v>
      </c>
      <c r="Y602" s="178">
        <v>250</v>
      </c>
      <c r="Z602" s="176">
        <f t="shared" si="48"/>
        <v>13160</v>
      </c>
      <c r="AA602" s="176">
        <f t="shared" si="49"/>
        <v>52113.599999999999</v>
      </c>
    </row>
    <row r="603" spans="1:27" s="179" customFormat="1" ht="15.75">
      <c r="A603" s="32">
        <v>600</v>
      </c>
      <c r="B603" s="168">
        <v>45954</v>
      </c>
      <c r="C603" s="168">
        <v>45954</v>
      </c>
      <c r="D603" s="169" t="s">
        <v>1445</v>
      </c>
      <c r="E603" s="170"/>
      <c r="F603" s="170"/>
      <c r="G603" s="170"/>
      <c r="H603" s="171"/>
      <c r="I603" s="12" t="s">
        <v>1446</v>
      </c>
      <c r="J603" s="172" t="s">
        <v>23</v>
      </c>
      <c r="K603" s="171" t="s">
        <v>30</v>
      </c>
      <c r="L603" s="170" t="s">
        <v>608</v>
      </c>
      <c r="M603" s="170" t="s">
        <v>31</v>
      </c>
      <c r="N603" s="170">
        <v>8.6999999999999993</v>
      </c>
      <c r="O603" s="170">
        <v>3.34</v>
      </c>
      <c r="P603" s="173">
        <f t="shared" si="45"/>
        <v>5.3599999999999994</v>
      </c>
      <c r="Q603" s="174">
        <v>150</v>
      </c>
      <c r="R603" s="175">
        <f t="shared" si="46"/>
        <v>803.99999999999989</v>
      </c>
      <c r="S603" s="174">
        <v>804</v>
      </c>
      <c r="T603" s="176"/>
      <c r="V603" s="176" t="s">
        <v>24</v>
      </c>
      <c r="W603" s="174"/>
      <c r="X603" s="177">
        <f t="shared" si="47"/>
        <v>0</v>
      </c>
      <c r="Y603" s="178"/>
      <c r="Z603" s="178">
        <f t="shared" si="48"/>
        <v>0</v>
      </c>
      <c r="AA603" s="176">
        <f t="shared" si="49"/>
        <v>803.99999999999989</v>
      </c>
    </row>
    <row r="604" spans="1:27" s="179" customFormat="1" ht="15.75">
      <c r="A604" s="32">
        <v>601</v>
      </c>
      <c r="B604" s="168">
        <v>45954</v>
      </c>
      <c r="C604" s="168">
        <v>45954</v>
      </c>
      <c r="D604" s="169" t="s">
        <v>1447</v>
      </c>
      <c r="E604" s="170"/>
      <c r="F604" s="170"/>
      <c r="G604" s="170"/>
      <c r="H604" s="180"/>
      <c r="I604" s="12" t="s">
        <v>1188</v>
      </c>
      <c r="J604" s="172" t="s">
        <v>23</v>
      </c>
      <c r="K604" s="171" t="s">
        <v>30</v>
      </c>
      <c r="L604" s="170" t="s">
        <v>1189</v>
      </c>
      <c r="M604" s="170" t="s">
        <v>31</v>
      </c>
      <c r="N604" s="170">
        <v>8.56</v>
      </c>
      <c r="O604" s="170">
        <v>3.4</v>
      </c>
      <c r="P604" s="173">
        <f t="shared" si="45"/>
        <v>5.16</v>
      </c>
      <c r="Q604" s="174">
        <v>150</v>
      </c>
      <c r="R604" s="175">
        <f t="shared" si="46"/>
        <v>774</v>
      </c>
      <c r="S604" s="174">
        <v>774</v>
      </c>
      <c r="T604" s="176"/>
      <c r="V604" s="176" t="s">
        <v>24</v>
      </c>
      <c r="W604" s="174"/>
      <c r="X604" s="177">
        <f t="shared" si="47"/>
        <v>0</v>
      </c>
      <c r="Y604" s="178"/>
      <c r="Z604" s="178">
        <f t="shared" si="48"/>
        <v>0</v>
      </c>
      <c r="AA604" s="176">
        <f t="shared" si="49"/>
        <v>774</v>
      </c>
    </row>
    <row r="605" spans="1:27" s="179" customFormat="1" ht="15.75">
      <c r="A605" s="32">
        <v>602</v>
      </c>
      <c r="B605" s="168">
        <v>45954</v>
      </c>
      <c r="C605" s="168">
        <v>45954</v>
      </c>
      <c r="D605" s="169" t="s">
        <v>1448</v>
      </c>
      <c r="E605" s="170"/>
      <c r="F605" s="170"/>
      <c r="G605" s="170"/>
      <c r="H605" s="180"/>
      <c r="I605" s="12" t="s">
        <v>980</v>
      </c>
      <c r="J605" s="172" t="s">
        <v>23</v>
      </c>
      <c r="K605" s="171" t="s">
        <v>30</v>
      </c>
      <c r="L605" s="170" t="s">
        <v>934</v>
      </c>
      <c r="M605" s="170" t="s">
        <v>31</v>
      </c>
      <c r="N605" s="170">
        <v>9.1999999999999993</v>
      </c>
      <c r="O605" s="170">
        <v>3.64</v>
      </c>
      <c r="P605" s="173">
        <f t="shared" si="45"/>
        <v>5.5599999999999987</v>
      </c>
      <c r="Q605" s="174">
        <v>150</v>
      </c>
      <c r="R605" s="175">
        <f t="shared" si="46"/>
        <v>833.99999999999977</v>
      </c>
      <c r="S605" s="174">
        <v>834</v>
      </c>
      <c r="T605" s="176"/>
      <c r="V605" s="176" t="s">
        <v>24</v>
      </c>
      <c r="W605" s="174"/>
      <c r="X605" s="177">
        <f t="shared" si="47"/>
        <v>0</v>
      </c>
      <c r="Y605" s="178"/>
      <c r="Z605" s="178">
        <f t="shared" si="48"/>
        <v>0</v>
      </c>
      <c r="AA605" s="176">
        <f t="shared" si="49"/>
        <v>833.99999999999977</v>
      </c>
    </row>
    <row r="606" spans="1:27" s="179" customFormat="1" ht="15.75">
      <c r="A606" s="32">
        <v>603</v>
      </c>
      <c r="B606" s="168">
        <v>45954</v>
      </c>
      <c r="C606" s="168">
        <v>45954</v>
      </c>
      <c r="D606" s="169" t="s">
        <v>1449</v>
      </c>
      <c r="E606" s="170"/>
      <c r="F606" s="170"/>
      <c r="G606" s="170"/>
      <c r="H606" s="180"/>
      <c r="I606" s="12" t="s">
        <v>980</v>
      </c>
      <c r="J606" s="172" t="s">
        <v>23</v>
      </c>
      <c r="K606" s="171" t="s">
        <v>30</v>
      </c>
      <c r="L606" s="170" t="s">
        <v>934</v>
      </c>
      <c r="M606" s="170" t="s">
        <v>31</v>
      </c>
      <c r="N606" s="170">
        <v>9.2799999999999994</v>
      </c>
      <c r="O606" s="170">
        <v>3.6</v>
      </c>
      <c r="P606" s="173">
        <f t="shared" si="45"/>
        <v>5.68</v>
      </c>
      <c r="Q606" s="174">
        <v>150</v>
      </c>
      <c r="R606" s="175">
        <f t="shared" si="46"/>
        <v>852</v>
      </c>
      <c r="S606" s="174">
        <v>852</v>
      </c>
      <c r="T606" s="176"/>
      <c r="V606" s="176" t="s">
        <v>24</v>
      </c>
      <c r="W606" s="174"/>
      <c r="X606" s="177">
        <f t="shared" si="47"/>
        <v>0</v>
      </c>
      <c r="Y606" s="178"/>
      <c r="Z606" s="176">
        <f t="shared" si="48"/>
        <v>0</v>
      </c>
      <c r="AA606" s="176">
        <f t="shared" si="49"/>
        <v>852</v>
      </c>
    </row>
    <row r="607" spans="1:27" s="182" customFormat="1" ht="15.75">
      <c r="A607" s="32">
        <v>604</v>
      </c>
      <c r="B607" s="168">
        <v>45955</v>
      </c>
      <c r="C607" s="168">
        <v>45956</v>
      </c>
      <c r="D607" s="169" t="s">
        <v>1450</v>
      </c>
      <c r="E607" s="170"/>
      <c r="F607" s="170"/>
      <c r="G607" s="170"/>
      <c r="H607" s="180"/>
      <c r="I607" s="12" t="s">
        <v>1451</v>
      </c>
      <c r="J607" s="42" t="s">
        <v>23</v>
      </c>
      <c r="K607" s="36" t="s">
        <v>38</v>
      </c>
      <c r="L607" s="170" t="s">
        <v>1452</v>
      </c>
      <c r="M607" s="170" t="s">
        <v>48</v>
      </c>
      <c r="N607" s="170">
        <v>43.68</v>
      </c>
      <c r="O607" s="170">
        <v>11.74</v>
      </c>
      <c r="P607" s="173">
        <f t="shared" si="45"/>
        <v>31.939999999999998</v>
      </c>
      <c r="Q607" s="174">
        <v>550</v>
      </c>
      <c r="R607" s="175">
        <f t="shared" si="46"/>
        <v>17567</v>
      </c>
      <c r="S607" s="174"/>
      <c r="T607" s="176"/>
      <c r="V607" s="176" t="s">
        <v>217</v>
      </c>
      <c r="W607" s="174"/>
      <c r="X607" s="177">
        <f t="shared" si="47"/>
        <v>0</v>
      </c>
      <c r="Y607" s="178"/>
      <c r="Z607" s="178">
        <f t="shared" si="48"/>
        <v>0</v>
      </c>
      <c r="AA607" s="176">
        <f t="shared" si="49"/>
        <v>17567</v>
      </c>
    </row>
    <row r="608" spans="1:27" s="179" customFormat="1" ht="15.75">
      <c r="A608" s="32">
        <v>605</v>
      </c>
      <c r="B608" s="168">
        <v>45956</v>
      </c>
      <c r="C608" s="168">
        <v>45956</v>
      </c>
      <c r="D608" s="203" t="s">
        <v>1453</v>
      </c>
      <c r="E608" s="170"/>
      <c r="F608" s="170"/>
      <c r="G608" s="170"/>
      <c r="H608" s="180"/>
      <c r="I608" s="36" t="s">
        <v>782</v>
      </c>
      <c r="J608" s="172" t="s">
        <v>23</v>
      </c>
      <c r="K608" s="36" t="s">
        <v>30</v>
      </c>
      <c r="L608" s="203" t="s">
        <v>1454</v>
      </c>
      <c r="M608" s="170" t="s">
        <v>31</v>
      </c>
      <c r="N608" s="170">
        <v>8.9</v>
      </c>
      <c r="O608" s="170">
        <v>3.74</v>
      </c>
      <c r="P608" s="173">
        <f t="shared" si="45"/>
        <v>5.16</v>
      </c>
      <c r="Q608" s="174">
        <v>150</v>
      </c>
      <c r="R608" s="175">
        <f t="shared" si="46"/>
        <v>774</v>
      </c>
      <c r="S608" s="174">
        <v>774</v>
      </c>
      <c r="T608" s="176"/>
      <c r="V608" s="176" t="s">
        <v>24</v>
      </c>
      <c r="W608" s="174"/>
      <c r="X608" s="177">
        <f t="shared" si="47"/>
        <v>0</v>
      </c>
      <c r="Y608" s="178"/>
      <c r="Z608" s="176">
        <f t="shared" si="48"/>
        <v>0</v>
      </c>
      <c r="AA608" s="176">
        <f t="shared" si="49"/>
        <v>774</v>
      </c>
    </row>
    <row r="609" spans="1:38" s="179" customFormat="1" ht="15.75">
      <c r="A609" s="32">
        <v>606</v>
      </c>
      <c r="B609" s="168">
        <v>45956</v>
      </c>
      <c r="C609" s="168">
        <v>45956</v>
      </c>
      <c r="D609" s="203" t="s">
        <v>1455</v>
      </c>
      <c r="E609" s="170"/>
      <c r="F609" s="170"/>
      <c r="G609" s="170"/>
      <c r="H609" s="171"/>
      <c r="I609" s="36" t="s">
        <v>1456</v>
      </c>
      <c r="J609" s="172" t="s">
        <v>23</v>
      </c>
      <c r="K609" s="36" t="s">
        <v>30</v>
      </c>
      <c r="L609" s="170" t="s">
        <v>934</v>
      </c>
      <c r="M609" s="170" t="s">
        <v>31</v>
      </c>
      <c r="N609" s="170">
        <v>10.06</v>
      </c>
      <c r="O609" s="170">
        <v>3.98</v>
      </c>
      <c r="P609" s="173">
        <f t="shared" si="45"/>
        <v>6.08</v>
      </c>
      <c r="Q609" s="174">
        <v>150</v>
      </c>
      <c r="R609" s="175">
        <f t="shared" si="46"/>
        <v>912</v>
      </c>
      <c r="S609" s="174">
        <v>912</v>
      </c>
      <c r="T609" s="176"/>
      <c r="V609" s="176" t="s">
        <v>24</v>
      </c>
      <c r="W609" s="174"/>
      <c r="X609" s="177">
        <f t="shared" si="47"/>
        <v>0</v>
      </c>
      <c r="Y609" s="178"/>
      <c r="Z609" s="178">
        <f t="shared" si="48"/>
        <v>0</v>
      </c>
      <c r="AA609" s="176">
        <f t="shared" si="49"/>
        <v>912</v>
      </c>
    </row>
    <row r="610" spans="1:38" s="179" customFormat="1" ht="15.75">
      <c r="A610" s="32">
        <v>607</v>
      </c>
      <c r="B610" s="168">
        <v>45956</v>
      </c>
      <c r="C610" s="168">
        <v>45956</v>
      </c>
      <c r="D610" s="203" t="s">
        <v>1457</v>
      </c>
      <c r="E610" s="170"/>
      <c r="F610" s="170"/>
      <c r="G610" s="170"/>
      <c r="H610" s="180"/>
      <c r="I610" s="36" t="s">
        <v>1456</v>
      </c>
      <c r="J610" s="172" t="s">
        <v>23</v>
      </c>
      <c r="K610" s="36" t="s">
        <v>30</v>
      </c>
      <c r="L610" s="170" t="s">
        <v>1458</v>
      </c>
      <c r="M610" s="170" t="s">
        <v>31</v>
      </c>
      <c r="N610" s="170">
        <v>10.06</v>
      </c>
      <c r="O610" s="170">
        <v>3.88</v>
      </c>
      <c r="P610" s="173">
        <f t="shared" si="45"/>
        <v>6.1800000000000006</v>
      </c>
      <c r="Q610" s="174">
        <v>150</v>
      </c>
      <c r="R610" s="175">
        <f t="shared" si="46"/>
        <v>927.00000000000011</v>
      </c>
      <c r="S610" s="174">
        <v>927</v>
      </c>
      <c r="T610" s="176"/>
      <c r="V610" s="176" t="s">
        <v>24</v>
      </c>
      <c r="W610" s="174"/>
      <c r="X610" s="177">
        <f t="shared" si="47"/>
        <v>0</v>
      </c>
      <c r="Y610" s="178"/>
      <c r="Z610" s="178">
        <f t="shared" si="48"/>
        <v>0</v>
      </c>
      <c r="AA610" s="176">
        <f t="shared" si="49"/>
        <v>927.00000000000011</v>
      </c>
    </row>
    <row r="611" spans="1:38" s="179" customFormat="1" ht="15.75">
      <c r="A611" s="32">
        <v>608</v>
      </c>
      <c r="B611" s="168">
        <v>45956</v>
      </c>
      <c r="C611" s="168">
        <v>45956</v>
      </c>
      <c r="D611" s="203" t="s">
        <v>1459</v>
      </c>
      <c r="E611" s="170"/>
      <c r="F611" s="170"/>
      <c r="G611" s="170"/>
      <c r="H611" s="180"/>
      <c r="I611" s="36" t="s">
        <v>1188</v>
      </c>
      <c r="J611" s="172" t="s">
        <v>23</v>
      </c>
      <c r="K611" s="36" t="s">
        <v>30</v>
      </c>
      <c r="L611" s="170" t="s">
        <v>1460</v>
      </c>
      <c r="M611" s="170" t="s">
        <v>421</v>
      </c>
      <c r="N611" s="170">
        <v>8.6999999999999993</v>
      </c>
      <c r="O611" s="170">
        <v>4</v>
      </c>
      <c r="P611" s="173">
        <f t="shared" si="45"/>
        <v>4.6999999999999993</v>
      </c>
      <c r="Q611" s="174">
        <v>450</v>
      </c>
      <c r="R611" s="175">
        <f t="shared" si="46"/>
        <v>2114.9999999999995</v>
      </c>
      <c r="S611" s="174">
        <v>2115</v>
      </c>
      <c r="T611" s="176"/>
      <c r="V611" s="176" t="s">
        <v>24</v>
      </c>
      <c r="W611" s="174"/>
      <c r="X611" s="177">
        <f t="shared" si="47"/>
        <v>0</v>
      </c>
      <c r="Y611" s="178"/>
      <c r="Z611" s="178">
        <f t="shared" si="48"/>
        <v>0</v>
      </c>
      <c r="AA611" s="176">
        <f t="shared" si="49"/>
        <v>2114.9999999999995</v>
      </c>
    </row>
    <row r="612" spans="1:38" s="182" customFormat="1" ht="15.75">
      <c r="A612" s="32">
        <v>609</v>
      </c>
      <c r="B612" s="168">
        <v>45956</v>
      </c>
      <c r="C612" s="168">
        <v>45956</v>
      </c>
      <c r="D612" s="203" t="s">
        <v>1461</v>
      </c>
      <c r="E612" s="170"/>
      <c r="F612" s="170"/>
      <c r="G612" s="170"/>
      <c r="H612" s="180"/>
      <c r="I612" s="36" t="s">
        <v>1456</v>
      </c>
      <c r="J612" s="172" t="s">
        <v>23</v>
      </c>
      <c r="K612" s="36" t="s">
        <v>30</v>
      </c>
      <c r="L612" s="170" t="s">
        <v>934</v>
      </c>
      <c r="M612" s="170" t="s">
        <v>31</v>
      </c>
      <c r="N612" s="170">
        <v>10.38</v>
      </c>
      <c r="O612" s="170">
        <v>4.5199999999999996</v>
      </c>
      <c r="P612" s="173">
        <f t="shared" si="45"/>
        <v>5.8600000000000012</v>
      </c>
      <c r="Q612" s="174">
        <v>150</v>
      </c>
      <c r="R612" s="175">
        <f t="shared" si="46"/>
        <v>879.00000000000023</v>
      </c>
      <c r="S612" s="174">
        <v>879</v>
      </c>
      <c r="T612" s="176"/>
      <c r="V612" s="176" t="s">
        <v>24</v>
      </c>
      <c r="W612" s="174"/>
      <c r="X612" s="177">
        <f t="shared" si="47"/>
        <v>0</v>
      </c>
      <c r="Y612" s="178"/>
      <c r="Z612" s="178">
        <f t="shared" si="48"/>
        <v>0</v>
      </c>
      <c r="AA612" s="176">
        <f t="shared" si="49"/>
        <v>879.00000000000023</v>
      </c>
    </row>
    <row r="613" spans="1:38" s="179" customFormat="1" ht="15.75">
      <c r="A613" s="32">
        <v>610</v>
      </c>
      <c r="B613" s="168">
        <v>45956</v>
      </c>
      <c r="C613" s="168">
        <v>45956</v>
      </c>
      <c r="D613" s="203" t="s">
        <v>1462</v>
      </c>
      <c r="E613" s="170"/>
      <c r="F613" s="170"/>
      <c r="G613" s="170"/>
      <c r="H613" s="180"/>
      <c r="I613" s="36" t="s">
        <v>1456</v>
      </c>
      <c r="J613" s="172" t="s">
        <v>23</v>
      </c>
      <c r="K613" s="36" t="s">
        <v>30</v>
      </c>
      <c r="L613" s="170" t="s">
        <v>1458</v>
      </c>
      <c r="M613" s="170" t="s">
        <v>31</v>
      </c>
      <c r="N613" s="181">
        <v>9.84</v>
      </c>
      <c r="O613" s="170">
        <v>4.5</v>
      </c>
      <c r="P613" s="173">
        <f t="shared" si="45"/>
        <v>5.34</v>
      </c>
      <c r="Q613" s="174">
        <v>150</v>
      </c>
      <c r="R613" s="175">
        <f t="shared" si="46"/>
        <v>801</v>
      </c>
      <c r="S613" s="174">
        <v>801</v>
      </c>
      <c r="T613" s="176"/>
      <c r="V613" s="176" t="s">
        <v>24</v>
      </c>
      <c r="W613" s="174"/>
      <c r="X613" s="177">
        <f t="shared" si="47"/>
        <v>0</v>
      </c>
      <c r="Y613" s="178"/>
      <c r="Z613" s="176">
        <f t="shared" si="48"/>
        <v>0</v>
      </c>
      <c r="AA613" s="176">
        <f t="shared" si="49"/>
        <v>801</v>
      </c>
    </row>
    <row r="614" spans="1:38" s="179" customFormat="1" ht="15.75">
      <c r="A614" s="32">
        <v>611</v>
      </c>
      <c r="B614" s="168">
        <v>45956</v>
      </c>
      <c r="C614" s="168">
        <v>45956</v>
      </c>
      <c r="D614" s="203" t="s">
        <v>1463</v>
      </c>
      <c r="E614" s="170"/>
      <c r="F614" s="170"/>
      <c r="G614" s="170"/>
      <c r="H614" s="180"/>
      <c r="I614" s="12" t="s">
        <v>1464</v>
      </c>
      <c r="J614" s="172" t="s">
        <v>23</v>
      </c>
      <c r="K614" s="171" t="s">
        <v>38</v>
      </c>
      <c r="L614" s="170" t="s">
        <v>1465</v>
      </c>
      <c r="M614" s="170" t="s">
        <v>31</v>
      </c>
      <c r="N614" s="170">
        <v>10.18</v>
      </c>
      <c r="O614" s="170">
        <v>3.4</v>
      </c>
      <c r="P614" s="173">
        <f t="shared" si="45"/>
        <v>6.7799999999999994</v>
      </c>
      <c r="Q614" s="174">
        <v>120</v>
      </c>
      <c r="R614" s="175">
        <f t="shared" si="46"/>
        <v>813.59999999999991</v>
      </c>
      <c r="S614" s="174"/>
      <c r="T614" s="176"/>
      <c r="V614" s="176" t="s">
        <v>217</v>
      </c>
      <c r="W614" s="174"/>
      <c r="X614" s="177">
        <f t="shared" si="47"/>
        <v>0</v>
      </c>
      <c r="Y614" s="178"/>
      <c r="Z614" s="176">
        <f t="shared" si="48"/>
        <v>0</v>
      </c>
      <c r="AA614" s="176">
        <f t="shared" si="49"/>
        <v>813.59999999999991</v>
      </c>
    </row>
    <row r="615" spans="1:38" s="179" customFormat="1" ht="15.75">
      <c r="A615" s="32">
        <v>612</v>
      </c>
      <c r="B615" s="168">
        <v>45956</v>
      </c>
      <c r="C615" s="168">
        <v>45956</v>
      </c>
      <c r="D615" s="203" t="s">
        <v>1466</v>
      </c>
      <c r="E615" s="170"/>
      <c r="F615" s="170"/>
      <c r="G615" s="170"/>
      <c r="H615" s="180"/>
      <c r="I615" s="36" t="s">
        <v>782</v>
      </c>
      <c r="J615" s="172" t="s">
        <v>23</v>
      </c>
      <c r="K615" s="36" t="s">
        <v>30</v>
      </c>
      <c r="L615" s="203" t="s">
        <v>1454</v>
      </c>
      <c r="M615" s="170" t="s">
        <v>31</v>
      </c>
      <c r="N615" s="170">
        <v>8.82</v>
      </c>
      <c r="O615" s="170">
        <v>3.14</v>
      </c>
      <c r="P615" s="173">
        <f t="shared" si="45"/>
        <v>5.68</v>
      </c>
      <c r="Q615" s="174">
        <v>150</v>
      </c>
      <c r="R615" s="175">
        <f t="shared" si="46"/>
        <v>852</v>
      </c>
      <c r="S615" s="174">
        <v>852</v>
      </c>
      <c r="T615" s="176"/>
      <c r="V615" s="176" t="s">
        <v>24</v>
      </c>
      <c r="W615" s="174"/>
      <c r="X615" s="177">
        <f t="shared" si="47"/>
        <v>0</v>
      </c>
      <c r="Y615" s="178"/>
      <c r="Z615" s="178">
        <f t="shared" si="48"/>
        <v>0</v>
      </c>
      <c r="AA615" s="176">
        <f t="shared" si="49"/>
        <v>852</v>
      </c>
    </row>
    <row r="616" spans="1:38" s="179" customFormat="1" ht="15.75">
      <c r="A616" s="32">
        <v>613</v>
      </c>
      <c r="B616" s="168">
        <v>45956</v>
      </c>
      <c r="C616" s="168">
        <v>45956</v>
      </c>
      <c r="D616" s="203" t="s">
        <v>1467</v>
      </c>
      <c r="E616" s="170"/>
      <c r="F616" s="170"/>
      <c r="G616" s="170"/>
      <c r="H616" s="180"/>
      <c r="I616" s="36" t="s">
        <v>1188</v>
      </c>
      <c r="J616" s="172" t="s">
        <v>23</v>
      </c>
      <c r="K616" s="36" t="s">
        <v>30</v>
      </c>
      <c r="L616" s="170" t="s">
        <v>1460</v>
      </c>
      <c r="M616" s="170" t="s">
        <v>31</v>
      </c>
      <c r="N616" s="170">
        <v>8.4</v>
      </c>
      <c r="O616" s="170">
        <v>2.98</v>
      </c>
      <c r="P616" s="173">
        <f t="shared" si="45"/>
        <v>5.42</v>
      </c>
      <c r="Q616" s="174">
        <v>150</v>
      </c>
      <c r="R616" s="175">
        <f t="shared" si="46"/>
        <v>813</v>
      </c>
      <c r="S616" s="174">
        <v>813</v>
      </c>
      <c r="T616" s="176"/>
      <c r="V616" s="176" t="s">
        <v>24</v>
      </c>
      <c r="W616" s="174"/>
      <c r="X616" s="177">
        <f t="shared" si="47"/>
        <v>0</v>
      </c>
      <c r="Y616" s="178"/>
      <c r="Z616" s="178">
        <f t="shared" si="48"/>
        <v>0</v>
      </c>
      <c r="AA616" s="176">
        <f t="shared" si="49"/>
        <v>813</v>
      </c>
    </row>
    <row r="617" spans="1:38" s="179" customFormat="1" ht="17.100000000000001" customHeight="1">
      <c r="A617" s="32">
        <v>614</v>
      </c>
      <c r="B617" s="168">
        <v>45956</v>
      </c>
      <c r="C617" s="168">
        <v>45956</v>
      </c>
      <c r="D617" s="203" t="s">
        <v>1468</v>
      </c>
      <c r="E617" s="170"/>
      <c r="F617" s="170"/>
      <c r="G617" s="170"/>
      <c r="H617" s="180"/>
      <c r="I617" s="36" t="s">
        <v>1456</v>
      </c>
      <c r="J617" s="172" t="s">
        <v>23</v>
      </c>
      <c r="K617" s="36" t="s">
        <v>30</v>
      </c>
      <c r="L617" s="170" t="s">
        <v>1458</v>
      </c>
      <c r="M617" s="170" t="s">
        <v>31</v>
      </c>
      <c r="N617" s="170">
        <v>8.8000000000000007</v>
      </c>
      <c r="O617" s="170">
        <v>3.16</v>
      </c>
      <c r="P617" s="173">
        <f t="shared" si="45"/>
        <v>5.6400000000000006</v>
      </c>
      <c r="Q617" s="174">
        <v>150</v>
      </c>
      <c r="R617" s="175">
        <f t="shared" si="46"/>
        <v>846.00000000000011</v>
      </c>
      <c r="S617" s="174">
        <v>846</v>
      </c>
      <c r="T617" s="176"/>
      <c r="V617" s="176" t="s">
        <v>24</v>
      </c>
      <c r="W617" s="174"/>
      <c r="X617" s="177">
        <f t="shared" si="47"/>
        <v>0</v>
      </c>
      <c r="Y617" s="178"/>
      <c r="Z617" s="178">
        <f t="shared" si="48"/>
        <v>0</v>
      </c>
      <c r="AA617" s="176">
        <f t="shared" si="49"/>
        <v>846.00000000000011</v>
      </c>
      <c r="AB617" s="188"/>
      <c r="AC617" s="187"/>
      <c r="AD617" s="189"/>
      <c r="AE617" s="190"/>
      <c r="AF617" s="187"/>
      <c r="AG617" s="190"/>
      <c r="AH617" s="187"/>
      <c r="AI617" s="189"/>
      <c r="AJ617" s="187"/>
      <c r="AK617" s="189"/>
      <c r="AL617" s="189"/>
    </row>
    <row r="618" spans="1:38" s="179" customFormat="1" ht="15.75">
      <c r="A618" s="32">
        <v>615</v>
      </c>
      <c r="B618" s="168">
        <v>45956</v>
      </c>
      <c r="C618" s="168">
        <v>45956</v>
      </c>
      <c r="D618" s="203" t="s">
        <v>1469</v>
      </c>
      <c r="E618" s="170"/>
      <c r="F618" s="170"/>
      <c r="G618" s="170"/>
      <c r="H618" s="180"/>
      <c r="I618" s="36" t="s">
        <v>1456</v>
      </c>
      <c r="J618" s="172" t="s">
        <v>23</v>
      </c>
      <c r="K618" s="36" t="s">
        <v>30</v>
      </c>
      <c r="L618" s="170" t="s">
        <v>934</v>
      </c>
      <c r="M618" s="170" t="s">
        <v>31</v>
      </c>
      <c r="N618" s="170">
        <v>9.1999999999999993</v>
      </c>
      <c r="O618" s="170">
        <v>3.16</v>
      </c>
      <c r="P618" s="173">
        <f t="shared" si="45"/>
        <v>6.0399999999999991</v>
      </c>
      <c r="Q618" s="174">
        <v>150</v>
      </c>
      <c r="R618" s="175">
        <f t="shared" si="46"/>
        <v>905.99999999999989</v>
      </c>
      <c r="S618" s="174">
        <v>906</v>
      </c>
      <c r="T618" s="176"/>
      <c r="V618" s="176" t="s">
        <v>24</v>
      </c>
      <c r="W618" s="174"/>
      <c r="X618" s="177">
        <f t="shared" si="47"/>
        <v>0</v>
      </c>
      <c r="Y618" s="178"/>
      <c r="Z618" s="178">
        <f t="shared" si="48"/>
        <v>0</v>
      </c>
      <c r="AA618" s="176">
        <f t="shared" si="49"/>
        <v>905.99999999999989</v>
      </c>
    </row>
    <row r="619" spans="1:38" s="179" customFormat="1" ht="15.75">
      <c r="A619" s="32">
        <v>616</v>
      </c>
      <c r="B619" s="168">
        <v>45956</v>
      </c>
      <c r="C619" s="168">
        <v>45956</v>
      </c>
      <c r="D619" s="203" t="s">
        <v>1470</v>
      </c>
      <c r="E619" s="170"/>
      <c r="F619" s="170"/>
      <c r="G619" s="170"/>
      <c r="H619" s="180"/>
      <c r="I619" s="36" t="s">
        <v>1456</v>
      </c>
      <c r="J619" s="172" t="s">
        <v>23</v>
      </c>
      <c r="K619" s="36" t="s">
        <v>30</v>
      </c>
      <c r="L619" s="170" t="s">
        <v>1458</v>
      </c>
      <c r="M619" s="170" t="s">
        <v>31</v>
      </c>
      <c r="N619" s="170">
        <v>9.06</v>
      </c>
      <c r="O619" s="181">
        <v>3.5</v>
      </c>
      <c r="P619" s="173">
        <f t="shared" si="45"/>
        <v>5.5600000000000005</v>
      </c>
      <c r="Q619" s="174">
        <v>150</v>
      </c>
      <c r="R619" s="175">
        <f t="shared" si="46"/>
        <v>834.00000000000011</v>
      </c>
      <c r="S619" s="174">
        <v>834</v>
      </c>
      <c r="T619" s="176"/>
      <c r="V619" s="176" t="s">
        <v>24</v>
      </c>
      <c r="W619" s="174"/>
      <c r="X619" s="177">
        <f t="shared" si="47"/>
        <v>0</v>
      </c>
      <c r="Y619" s="178"/>
      <c r="Z619" s="178">
        <f t="shared" si="48"/>
        <v>0</v>
      </c>
      <c r="AA619" s="176">
        <f t="shared" si="49"/>
        <v>834.00000000000011</v>
      </c>
    </row>
    <row r="620" spans="1:38" s="179" customFormat="1" ht="15.75">
      <c r="A620" s="32">
        <v>617</v>
      </c>
      <c r="B620" s="168">
        <v>45956</v>
      </c>
      <c r="C620" s="168">
        <v>45956</v>
      </c>
      <c r="D620" s="204" t="s">
        <v>1471</v>
      </c>
      <c r="E620" s="170"/>
      <c r="F620" s="170"/>
      <c r="G620" s="170"/>
      <c r="H620" s="180"/>
      <c r="I620" s="36" t="s">
        <v>1456</v>
      </c>
      <c r="J620" s="172" t="s">
        <v>23</v>
      </c>
      <c r="K620" s="36" t="s">
        <v>30</v>
      </c>
      <c r="L620" s="170" t="s">
        <v>934</v>
      </c>
      <c r="M620" s="170" t="s">
        <v>31</v>
      </c>
      <c r="N620" s="170">
        <v>9.86</v>
      </c>
      <c r="O620" s="170">
        <v>3.56</v>
      </c>
      <c r="P620" s="173">
        <f t="shared" si="45"/>
        <v>6.2999999999999989</v>
      </c>
      <c r="Q620" s="174">
        <v>150</v>
      </c>
      <c r="R620" s="175">
        <f t="shared" si="46"/>
        <v>944.99999999999989</v>
      </c>
      <c r="S620" s="174">
        <v>945</v>
      </c>
      <c r="T620" s="176"/>
      <c r="V620" s="176" t="s">
        <v>24</v>
      </c>
      <c r="W620" s="174"/>
      <c r="X620" s="177">
        <f t="shared" si="47"/>
        <v>0</v>
      </c>
      <c r="Y620" s="178"/>
      <c r="Z620" s="178">
        <f t="shared" si="48"/>
        <v>0</v>
      </c>
      <c r="AA620" s="176">
        <f t="shared" si="49"/>
        <v>944.99999999999989</v>
      </c>
    </row>
    <row r="621" spans="1:38" s="179" customFormat="1" ht="15.75">
      <c r="A621" s="32">
        <v>618</v>
      </c>
      <c r="B621" s="168">
        <v>45956</v>
      </c>
      <c r="C621" s="168">
        <v>45957</v>
      </c>
      <c r="D621" s="169">
        <v>251027001</v>
      </c>
      <c r="E621" s="170" t="s">
        <v>1472</v>
      </c>
      <c r="F621" s="170" t="s">
        <v>1473</v>
      </c>
      <c r="G621" s="170">
        <v>35</v>
      </c>
      <c r="H621" s="191">
        <v>84</v>
      </c>
      <c r="I621" s="196" t="s">
        <v>1009</v>
      </c>
      <c r="J621" s="35" t="s">
        <v>23</v>
      </c>
      <c r="K621" s="36" t="s">
        <v>38</v>
      </c>
      <c r="L621" s="170" t="s">
        <v>311</v>
      </c>
      <c r="M621" s="170" t="s">
        <v>40</v>
      </c>
      <c r="N621" s="170">
        <v>46.9</v>
      </c>
      <c r="O621" s="170">
        <v>11.52</v>
      </c>
      <c r="P621" s="173">
        <f t="shared" si="45"/>
        <v>35.379999999999995</v>
      </c>
      <c r="Q621" s="174">
        <v>305</v>
      </c>
      <c r="R621" s="175">
        <f t="shared" si="46"/>
        <v>10790.899999999998</v>
      </c>
      <c r="S621" s="174"/>
      <c r="T621" s="176"/>
      <c r="V621" s="176" t="s">
        <v>24</v>
      </c>
      <c r="W621" s="174">
        <v>145</v>
      </c>
      <c r="X621" s="177">
        <f t="shared" si="47"/>
        <v>5130.0999999999995</v>
      </c>
      <c r="Y621" s="178">
        <v>210</v>
      </c>
      <c r="Z621" s="178">
        <f t="shared" si="48"/>
        <v>7429.7999999999993</v>
      </c>
      <c r="AA621" s="176">
        <f t="shared" si="49"/>
        <v>23350.799999999996</v>
      </c>
    </row>
    <row r="622" spans="1:38" s="182" customFormat="1" ht="15.75">
      <c r="A622" s="32">
        <v>619</v>
      </c>
      <c r="B622" s="168">
        <v>45956</v>
      </c>
      <c r="C622" s="168">
        <v>45957</v>
      </c>
      <c r="D622" s="169">
        <v>251027002</v>
      </c>
      <c r="E622" s="170" t="s">
        <v>1474</v>
      </c>
      <c r="F622" s="170" t="s">
        <v>1475</v>
      </c>
      <c r="G622" s="170">
        <v>31</v>
      </c>
      <c r="H622" s="191">
        <v>84</v>
      </c>
      <c r="I622" s="196" t="s">
        <v>1009</v>
      </c>
      <c r="J622" s="35" t="s">
        <v>23</v>
      </c>
      <c r="K622" s="36" t="s">
        <v>38</v>
      </c>
      <c r="L622" s="170" t="s">
        <v>39</v>
      </c>
      <c r="M622" s="170" t="s">
        <v>40</v>
      </c>
      <c r="N622" s="181">
        <v>42.06</v>
      </c>
      <c r="O622" s="170">
        <v>10.48</v>
      </c>
      <c r="P622" s="173">
        <f t="shared" si="45"/>
        <v>31.580000000000002</v>
      </c>
      <c r="Q622" s="174">
        <v>305</v>
      </c>
      <c r="R622" s="175">
        <f t="shared" si="46"/>
        <v>9631.9000000000015</v>
      </c>
      <c r="S622" s="174"/>
      <c r="T622" s="176"/>
      <c r="V622" s="176" t="s">
        <v>24</v>
      </c>
      <c r="W622" s="174">
        <v>145</v>
      </c>
      <c r="X622" s="177">
        <f t="shared" si="47"/>
        <v>4579.1000000000004</v>
      </c>
      <c r="Y622" s="178">
        <v>210</v>
      </c>
      <c r="Z622" s="176">
        <f t="shared" si="48"/>
        <v>6631.8</v>
      </c>
      <c r="AA622" s="176">
        <f t="shared" si="49"/>
        <v>20842.800000000003</v>
      </c>
    </row>
    <row r="623" spans="1:38" s="179" customFormat="1" ht="15.75">
      <c r="A623" s="32">
        <v>620</v>
      </c>
      <c r="B623" s="168">
        <v>45956</v>
      </c>
      <c r="C623" s="168">
        <v>45957</v>
      </c>
      <c r="D623" s="169">
        <v>251027003</v>
      </c>
      <c r="E623" s="170" t="s">
        <v>1476</v>
      </c>
      <c r="F623" s="170" t="s">
        <v>1477</v>
      </c>
      <c r="G623" s="170">
        <v>45</v>
      </c>
      <c r="H623" s="191">
        <v>84</v>
      </c>
      <c r="I623" s="196" t="s">
        <v>1009</v>
      </c>
      <c r="J623" s="35" t="s">
        <v>23</v>
      </c>
      <c r="K623" s="36" t="s">
        <v>38</v>
      </c>
      <c r="L623" s="170" t="s">
        <v>904</v>
      </c>
      <c r="M623" s="170" t="s">
        <v>40</v>
      </c>
      <c r="N623" s="170">
        <v>60.7</v>
      </c>
      <c r="O623" s="181">
        <v>15.5</v>
      </c>
      <c r="P623" s="173">
        <f t="shared" si="45"/>
        <v>45.2</v>
      </c>
      <c r="Q623" s="174">
        <v>305</v>
      </c>
      <c r="R623" s="175">
        <f t="shared" si="46"/>
        <v>13786</v>
      </c>
      <c r="S623" s="174"/>
      <c r="T623" s="176"/>
      <c r="V623" s="176" t="s">
        <v>24</v>
      </c>
      <c r="W623" s="174">
        <v>145</v>
      </c>
      <c r="X623" s="177">
        <f t="shared" si="47"/>
        <v>6554</v>
      </c>
      <c r="Y623" s="178">
        <v>210</v>
      </c>
      <c r="Z623" s="176">
        <f t="shared" si="48"/>
        <v>9492</v>
      </c>
      <c r="AA623" s="176">
        <f t="shared" si="49"/>
        <v>29832</v>
      </c>
    </row>
    <row r="624" spans="1:38" s="179" customFormat="1" ht="15.75">
      <c r="A624" s="32">
        <v>621</v>
      </c>
      <c r="B624" s="168">
        <v>45957</v>
      </c>
      <c r="C624" s="168">
        <v>45957</v>
      </c>
      <c r="D624" s="203" t="s">
        <v>1478</v>
      </c>
      <c r="E624" s="170"/>
      <c r="F624" s="170"/>
      <c r="G624" s="170"/>
      <c r="H624" s="180"/>
      <c r="I624" s="36" t="s">
        <v>782</v>
      </c>
      <c r="J624" s="172" t="s">
        <v>23</v>
      </c>
      <c r="K624" s="36" t="s">
        <v>30</v>
      </c>
      <c r="L624" s="203" t="s">
        <v>1454</v>
      </c>
      <c r="M624" s="170" t="s">
        <v>31</v>
      </c>
      <c r="N624" s="170">
        <v>8.82</v>
      </c>
      <c r="O624" s="170">
        <v>3.44</v>
      </c>
      <c r="P624" s="173">
        <f t="shared" si="45"/>
        <v>5.3800000000000008</v>
      </c>
      <c r="Q624" s="174">
        <v>150</v>
      </c>
      <c r="R624" s="175">
        <f t="shared" si="46"/>
        <v>807.00000000000011</v>
      </c>
      <c r="S624" s="174">
        <v>810</v>
      </c>
      <c r="T624" s="176"/>
      <c r="V624" s="176" t="s">
        <v>24</v>
      </c>
      <c r="W624" s="174"/>
      <c r="X624" s="177">
        <f t="shared" si="47"/>
        <v>0</v>
      </c>
      <c r="Y624" s="178"/>
      <c r="Z624" s="176">
        <f t="shared" si="48"/>
        <v>0</v>
      </c>
      <c r="AA624" s="176">
        <f t="shared" si="49"/>
        <v>807.00000000000011</v>
      </c>
    </row>
    <row r="625" spans="1:38" s="179" customFormat="1" ht="15.75">
      <c r="A625" s="32">
        <v>622</v>
      </c>
      <c r="B625" s="168">
        <v>45957</v>
      </c>
      <c r="C625" s="168">
        <v>45957</v>
      </c>
      <c r="D625" s="203" t="s">
        <v>1479</v>
      </c>
      <c r="E625" s="170"/>
      <c r="F625" s="170"/>
      <c r="G625" s="170"/>
      <c r="H625" s="171"/>
      <c r="I625" s="36" t="s">
        <v>1456</v>
      </c>
      <c r="J625" s="172" t="s">
        <v>23</v>
      </c>
      <c r="K625" s="36" t="s">
        <v>30</v>
      </c>
      <c r="L625" s="170" t="s">
        <v>934</v>
      </c>
      <c r="M625" s="170" t="s">
        <v>31</v>
      </c>
      <c r="N625" s="170">
        <v>8.7200000000000006</v>
      </c>
      <c r="O625" s="170">
        <v>3.6</v>
      </c>
      <c r="P625" s="173">
        <f t="shared" si="45"/>
        <v>5.120000000000001</v>
      </c>
      <c r="Q625" s="174">
        <v>150</v>
      </c>
      <c r="R625" s="175">
        <f t="shared" si="46"/>
        <v>768.00000000000011</v>
      </c>
      <c r="S625" s="174">
        <v>770</v>
      </c>
      <c r="T625" s="176"/>
      <c r="V625" s="176" t="s">
        <v>24</v>
      </c>
      <c r="W625" s="174"/>
      <c r="X625" s="177">
        <f t="shared" si="47"/>
        <v>0</v>
      </c>
      <c r="Y625" s="178"/>
      <c r="Z625" s="178">
        <f t="shared" si="48"/>
        <v>0</v>
      </c>
      <c r="AA625" s="176">
        <f t="shared" si="49"/>
        <v>768.00000000000011</v>
      </c>
    </row>
    <row r="626" spans="1:38" s="179" customFormat="1" ht="15.75">
      <c r="A626" s="32">
        <v>623</v>
      </c>
      <c r="B626" s="168">
        <v>45957</v>
      </c>
      <c r="C626" s="168">
        <v>45957</v>
      </c>
      <c r="D626" s="203">
        <v>251027004</v>
      </c>
      <c r="E626" s="170" t="s">
        <v>1480</v>
      </c>
      <c r="F626" s="170" t="s">
        <v>1481</v>
      </c>
      <c r="G626" s="170">
        <v>47</v>
      </c>
      <c r="H626" s="191">
        <v>84</v>
      </c>
      <c r="I626" s="196" t="s">
        <v>1009</v>
      </c>
      <c r="J626" s="35" t="s">
        <v>23</v>
      </c>
      <c r="K626" s="36" t="s">
        <v>38</v>
      </c>
      <c r="L626" s="170" t="s">
        <v>623</v>
      </c>
      <c r="M626" s="170" t="s">
        <v>48</v>
      </c>
      <c r="N626" s="170">
        <v>65.78</v>
      </c>
      <c r="O626" s="170">
        <v>18.38</v>
      </c>
      <c r="P626" s="173">
        <f t="shared" si="45"/>
        <v>47.400000000000006</v>
      </c>
      <c r="Q626" s="174">
        <v>515</v>
      </c>
      <c r="R626" s="175">
        <f t="shared" si="46"/>
        <v>24411.000000000004</v>
      </c>
      <c r="S626" s="174"/>
      <c r="T626" s="176"/>
      <c r="V626" s="176" t="s">
        <v>24</v>
      </c>
      <c r="W626" s="174">
        <v>145</v>
      </c>
      <c r="X626" s="177">
        <f t="shared" si="47"/>
        <v>6873.0000000000009</v>
      </c>
      <c r="Y626" s="178">
        <v>210</v>
      </c>
      <c r="Z626" s="178">
        <f t="shared" si="48"/>
        <v>9954.0000000000018</v>
      </c>
      <c r="AA626" s="176">
        <f t="shared" si="49"/>
        <v>41238.000000000007</v>
      </c>
    </row>
    <row r="627" spans="1:38" s="179" customFormat="1" ht="15.75">
      <c r="A627" s="32">
        <v>624</v>
      </c>
      <c r="B627" s="168">
        <v>45957</v>
      </c>
      <c r="C627" s="168">
        <v>45957</v>
      </c>
      <c r="D627" s="203">
        <v>251027005</v>
      </c>
      <c r="E627" s="170" t="s">
        <v>1482</v>
      </c>
      <c r="F627" s="170" t="s">
        <v>1483</v>
      </c>
      <c r="G627" s="170">
        <v>45</v>
      </c>
      <c r="H627" s="191">
        <v>84</v>
      </c>
      <c r="I627" s="196" t="s">
        <v>1009</v>
      </c>
      <c r="J627" s="35" t="s">
        <v>23</v>
      </c>
      <c r="K627" s="36" t="s">
        <v>38</v>
      </c>
      <c r="L627" s="170" t="s">
        <v>61</v>
      </c>
      <c r="M627" s="170" t="s">
        <v>48</v>
      </c>
      <c r="N627" s="170">
        <v>61.48</v>
      </c>
      <c r="O627" s="170">
        <v>16.059999999999999</v>
      </c>
      <c r="P627" s="173">
        <f t="shared" si="45"/>
        <v>45.42</v>
      </c>
      <c r="Q627" s="174">
        <v>515</v>
      </c>
      <c r="R627" s="175">
        <f t="shared" si="46"/>
        <v>23391.3</v>
      </c>
      <c r="S627" s="174"/>
      <c r="T627" s="176"/>
      <c r="V627" s="176" t="s">
        <v>24</v>
      </c>
      <c r="W627" s="174">
        <v>145</v>
      </c>
      <c r="X627" s="177">
        <f t="shared" si="47"/>
        <v>6585.9000000000005</v>
      </c>
      <c r="Y627" s="178">
        <v>210</v>
      </c>
      <c r="Z627" s="178">
        <f t="shared" si="48"/>
        <v>9538.2000000000007</v>
      </c>
      <c r="AA627" s="176">
        <f t="shared" si="49"/>
        <v>39515.4</v>
      </c>
    </row>
    <row r="628" spans="1:38" s="182" customFormat="1" ht="15.75">
      <c r="A628" s="32">
        <v>625</v>
      </c>
      <c r="B628" s="168">
        <v>45961</v>
      </c>
      <c r="C628" s="168">
        <v>45961</v>
      </c>
      <c r="D628" s="205">
        <v>251031001</v>
      </c>
      <c r="E628" s="170" t="s">
        <v>1484</v>
      </c>
      <c r="F628" s="170" t="s">
        <v>1485</v>
      </c>
      <c r="G628" s="170">
        <v>32</v>
      </c>
      <c r="H628" s="183">
        <v>115</v>
      </c>
      <c r="I628" s="184" t="s">
        <v>46</v>
      </c>
      <c r="J628" s="185" t="s">
        <v>23</v>
      </c>
      <c r="K628" s="186" t="s">
        <v>38</v>
      </c>
      <c r="L628" s="170" t="s">
        <v>98</v>
      </c>
      <c r="M628" s="170" t="s">
        <v>40</v>
      </c>
      <c r="N628" s="170">
        <v>44.8</v>
      </c>
      <c r="O628" s="170">
        <v>11.82</v>
      </c>
      <c r="P628" s="173">
        <f t="shared" si="45"/>
        <v>32.979999999999997</v>
      </c>
      <c r="Q628" s="174">
        <v>315</v>
      </c>
      <c r="R628" s="175">
        <f t="shared" si="46"/>
        <v>10388.699999999999</v>
      </c>
      <c r="S628" s="174"/>
      <c r="T628" s="176"/>
      <c r="V628" s="176" t="s">
        <v>24</v>
      </c>
      <c r="W628" s="174">
        <v>145</v>
      </c>
      <c r="X628" s="177">
        <f t="shared" si="47"/>
        <v>4782.0999999999995</v>
      </c>
      <c r="Y628" s="178">
        <v>260</v>
      </c>
      <c r="Z628" s="178">
        <f t="shared" si="48"/>
        <v>8574.7999999999993</v>
      </c>
      <c r="AA628" s="176">
        <f t="shared" si="49"/>
        <v>23745.599999999999</v>
      </c>
    </row>
    <row r="629" spans="1:38" s="179" customFormat="1" ht="15.75">
      <c r="A629" s="32">
        <v>626</v>
      </c>
      <c r="B629" s="168">
        <v>45961</v>
      </c>
      <c r="C629" s="168">
        <v>45961</v>
      </c>
      <c r="D629" s="205">
        <v>251031002</v>
      </c>
      <c r="E629" s="170" t="s">
        <v>1486</v>
      </c>
      <c r="F629" s="170" t="s">
        <v>1487</v>
      </c>
      <c r="G629" s="170">
        <v>43</v>
      </c>
      <c r="H629" s="183">
        <v>115</v>
      </c>
      <c r="I629" s="184" t="s">
        <v>46</v>
      </c>
      <c r="J629" s="185" t="s">
        <v>23</v>
      </c>
      <c r="K629" s="186" t="s">
        <v>38</v>
      </c>
      <c r="L629" s="170" t="s">
        <v>125</v>
      </c>
      <c r="M629" s="170" t="s">
        <v>40</v>
      </c>
      <c r="N629" s="181">
        <v>60.04</v>
      </c>
      <c r="O629" s="170">
        <v>15.84</v>
      </c>
      <c r="P629" s="173">
        <f t="shared" si="45"/>
        <v>44.2</v>
      </c>
      <c r="Q629" s="174">
        <v>315</v>
      </c>
      <c r="R629" s="175">
        <f t="shared" si="46"/>
        <v>13923</v>
      </c>
      <c r="S629" s="174"/>
      <c r="T629" s="176"/>
      <c r="V629" s="176" t="s">
        <v>24</v>
      </c>
      <c r="W629" s="174">
        <v>145</v>
      </c>
      <c r="X629" s="177">
        <f t="shared" si="47"/>
        <v>6409</v>
      </c>
      <c r="Y629" s="178">
        <v>260</v>
      </c>
      <c r="Z629" s="176">
        <f t="shared" si="48"/>
        <v>11492</v>
      </c>
      <c r="AA629" s="176">
        <f t="shared" si="49"/>
        <v>31824</v>
      </c>
    </row>
    <row r="630" spans="1:38" s="179" customFormat="1" ht="15.75">
      <c r="A630" s="32">
        <v>627</v>
      </c>
      <c r="B630" s="168">
        <v>45961</v>
      </c>
      <c r="C630" s="168">
        <v>45961</v>
      </c>
      <c r="D630" s="205">
        <v>251031003</v>
      </c>
      <c r="E630" s="170" t="s">
        <v>1488</v>
      </c>
      <c r="F630" s="170" t="s">
        <v>1489</v>
      </c>
      <c r="G630" s="170">
        <v>30</v>
      </c>
      <c r="H630" s="191">
        <v>84</v>
      </c>
      <c r="I630" s="196" t="s">
        <v>1009</v>
      </c>
      <c r="J630" s="35" t="s">
        <v>23</v>
      </c>
      <c r="K630" s="36" t="s">
        <v>38</v>
      </c>
      <c r="L630" s="170" t="s">
        <v>1490</v>
      </c>
      <c r="M630" s="170" t="s">
        <v>40</v>
      </c>
      <c r="N630" s="170">
        <v>42.52</v>
      </c>
      <c r="O630" s="170">
        <v>10.64</v>
      </c>
      <c r="P630" s="173">
        <f t="shared" si="45"/>
        <v>31.880000000000003</v>
      </c>
      <c r="Q630" s="174">
        <v>305</v>
      </c>
      <c r="R630" s="175">
        <f t="shared" si="46"/>
        <v>9723.4000000000015</v>
      </c>
      <c r="S630" s="174"/>
      <c r="T630" s="176"/>
      <c r="V630" s="176" t="s">
        <v>24</v>
      </c>
      <c r="W630" s="174">
        <v>145</v>
      </c>
      <c r="X630" s="177">
        <f t="shared" si="47"/>
        <v>4622.6000000000004</v>
      </c>
      <c r="Y630" s="178">
        <v>210</v>
      </c>
      <c r="Z630" s="176">
        <f t="shared" si="48"/>
        <v>6694.8</v>
      </c>
      <c r="AA630" s="176">
        <f t="shared" si="49"/>
        <v>21040.800000000003</v>
      </c>
    </row>
    <row r="631" spans="1:38" s="179" customFormat="1" ht="15.75">
      <c r="A631" s="32">
        <v>628</v>
      </c>
      <c r="B631" s="168">
        <v>45961</v>
      </c>
      <c r="C631" s="168">
        <v>45961</v>
      </c>
      <c r="D631" s="205">
        <v>251031004</v>
      </c>
      <c r="E631" s="170" t="s">
        <v>1491</v>
      </c>
      <c r="F631" s="170" t="s">
        <v>1492</v>
      </c>
      <c r="G631" s="170">
        <v>44</v>
      </c>
      <c r="H631" s="191">
        <v>84</v>
      </c>
      <c r="I631" s="196" t="s">
        <v>1009</v>
      </c>
      <c r="J631" s="35" t="s">
        <v>23</v>
      </c>
      <c r="K631" s="36" t="s">
        <v>38</v>
      </c>
      <c r="L631" s="205" t="s">
        <v>79</v>
      </c>
      <c r="M631" s="170" t="s">
        <v>40</v>
      </c>
      <c r="N631" s="170">
        <v>60.5</v>
      </c>
      <c r="O631" s="170">
        <v>15.9</v>
      </c>
      <c r="P631" s="173">
        <f t="shared" si="45"/>
        <v>44.6</v>
      </c>
      <c r="Q631" s="174">
        <v>305</v>
      </c>
      <c r="R631" s="175">
        <f t="shared" si="46"/>
        <v>13603</v>
      </c>
      <c r="S631" s="174"/>
      <c r="T631" s="176"/>
      <c r="V631" s="176" t="s">
        <v>24</v>
      </c>
      <c r="W631" s="174">
        <v>145</v>
      </c>
      <c r="X631" s="177">
        <f t="shared" si="47"/>
        <v>6467</v>
      </c>
      <c r="Y631" s="178">
        <v>210</v>
      </c>
      <c r="Z631" s="178">
        <f t="shared" si="48"/>
        <v>9366</v>
      </c>
      <c r="AA631" s="176">
        <f t="shared" si="49"/>
        <v>29436</v>
      </c>
    </row>
    <row r="632" spans="1:38" s="179" customFormat="1" ht="15.75">
      <c r="A632" s="32">
        <v>629</v>
      </c>
      <c r="B632" s="168">
        <v>45961</v>
      </c>
      <c r="C632" s="168">
        <v>45961</v>
      </c>
      <c r="D632" s="205">
        <v>251031005</v>
      </c>
      <c r="E632" s="170" t="s">
        <v>1493</v>
      </c>
      <c r="F632" s="170" t="s">
        <v>1494</v>
      </c>
      <c r="G632" s="170">
        <v>45</v>
      </c>
      <c r="H632" s="183">
        <v>115</v>
      </c>
      <c r="I632" s="184" t="s">
        <v>46</v>
      </c>
      <c r="J632" s="35" t="s">
        <v>23</v>
      </c>
      <c r="K632" s="36" t="s">
        <v>38</v>
      </c>
      <c r="L632" s="170" t="s">
        <v>82</v>
      </c>
      <c r="M632" s="170" t="s">
        <v>40</v>
      </c>
      <c r="N632" s="170">
        <v>60.74</v>
      </c>
      <c r="O632" s="170">
        <v>14.92</v>
      </c>
      <c r="P632" s="173">
        <f t="shared" si="45"/>
        <v>45.82</v>
      </c>
      <c r="Q632" s="174">
        <v>315</v>
      </c>
      <c r="R632" s="175">
        <f t="shared" si="46"/>
        <v>14433.3</v>
      </c>
      <c r="S632" s="174"/>
      <c r="T632" s="176"/>
      <c r="V632" s="176" t="s">
        <v>24</v>
      </c>
      <c r="W632" s="174">
        <v>145</v>
      </c>
      <c r="X632" s="177">
        <f t="shared" si="47"/>
        <v>6643.9</v>
      </c>
      <c r="Y632" s="178">
        <v>260</v>
      </c>
      <c r="Z632" s="178">
        <f t="shared" si="48"/>
        <v>11913.2</v>
      </c>
      <c r="AA632" s="176">
        <f t="shared" si="49"/>
        <v>32990.399999999994</v>
      </c>
    </row>
    <row r="633" spans="1:38" s="179" customFormat="1" ht="17.100000000000001" customHeight="1">
      <c r="A633" s="32">
        <v>630</v>
      </c>
      <c r="B633" s="168">
        <v>45961</v>
      </c>
      <c r="C633" s="168">
        <v>45961</v>
      </c>
      <c r="D633" s="205">
        <v>251031006</v>
      </c>
      <c r="E633" s="170" t="s">
        <v>1495</v>
      </c>
      <c r="F633" s="170" t="s">
        <v>1496</v>
      </c>
      <c r="G633" s="170">
        <v>45</v>
      </c>
      <c r="H633" s="183">
        <v>115</v>
      </c>
      <c r="I633" s="184" t="s">
        <v>46</v>
      </c>
      <c r="J633" s="35" t="s">
        <v>23</v>
      </c>
      <c r="K633" s="36" t="s">
        <v>38</v>
      </c>
      <c r="L633" s="170" t="s">
        <v>122</v>
      </c>
      <c r="M633" s="170" t="s">
        <v>48</v>
      </c>
      <c r="N633" s="170">
        <v>62.26</v>
      </c>
      <c r="O633" s="170">
        <v>15.9</v>
      </c>
      <c r="P633" s="173">
        <f t="shared" si="45"/>
        <v>46.36</v>
      </c>
      <c r="Q633" s="174">
        <v>545</v>
      </c>
      <c r="R633" s="175">
        <f t="shared" si="46"/>
        <v>25266.2</v>
      </c>
      <c r="S633" s="174"/>
      <c r="T633" s="176"/>
      <c r="V633" s="176" t="s">
        <v>24</v>
      </c>
      <c r="W633" s="174">
        <v>145</v>
      </c>
      <c r="X633" s="177">
        <f t="shared" si="47"/>
        <v>6722.2</v>
      </c>
      <c r="Y633" s="178">
        <v>260</v>
      </c>
      <c r="Z633" s="178">
        <f t="shared" si="48"/>
        <v>12053.6</v>
      </c>
      <c r="AA633" s="176">
        <f t="shared" si="49"/>
        <v>44042</v>
      </c>
      <c r="AB633" s="188"/>
      <c r="AC633" s="187"/>
      <c r="AD633" s="189"/>
      <c r="AE633" s="190"/>
      <c r="AF633" s="187"/>
      <c r="AG633" s="190"/>
      <c r="AH633" s="187"/>
      <c r="AI633" s="189"/>
      <c r="AJ633" s="187"/>
      <c r="AK633" s="189"/>
      <c r="AL633" s="189"/>
    </row>
    <row r="634" spans="1:38" s="179" customFormat="1" ht="15.75">
      <c r="A634" s="32">
        <v>631</v>
      </c>
      <c r="B634" s="168">
        <v>45961</v>
      </c>
      <c r="C634" s="168">
        <v>45961</v>
      </c>
      <c r="D634" s="205">
        <v>251031007</v>
      </c>
      <c r="E634" s="170" t="s">
        <v>1497</v>
      </c>
      <c r="F634" s="170" t="s">
        <v>1498</v>
      </c>
      <c r="G634" s="170">
        <v>46</v>
      </c>
      <c r="H634" s="183">
        <v>115</v>
      </c>
      <c r="I634" s="184" t="s">
        <v>46</v>
      </c>
      <c r="J634" s="35" t="s">
        <v>23</v>
      </c>
      <c r="K634" s="36" t="s">
        <v>38</v>
      </c>
      <c r="L634" s="170" t="s">
        <v>51</v>
      </c>
      <c r="M634" s="170" t="s">
        <v>48</v>
      </c>
      <c r="N634" s="170">
        <v>61.84</v>
      </c>
      <c r="O634" s="170">
        <v>15.28</v>
      </c>
      <c r="P634" s="173">
        <f t="shared" si="45"/>
        <v>46.56</v>
      </c>
      <c r="Q634" s="174">
        <v>545</v>
      </c>
      <c r="R634" s="175">
        <f t="shared" si="46"/>
        <v>25375.200000000001</v>
      </c>
      <c r="S634" s="174"/>
      <c r="T634" s="176"/>
      <c r="V634" s="176" t="s">
        <v>24</v>
      </c>
      <c r="W634" s="174">
        <v>145</v>
      </c>
      <c r="X634" s="177">
        <f t="shared" si="47"/>
        <v>6751.2000000000007</v>
      </c>
      <c r="Y634" s="178">
        <v>260</v>
      </c>
      <c r="Z634" s="178">
        <f t="shared" si="48"/>
        <v>12105.6</v>
      </c>
      <c r="AA634" s="176">
        <f t="shared" si="49"/>
        <v>44232</v>
      </c>
    </row>
    <row r="635" spans="1:38" s="179" customFormat="1" ht="15.75">
      <c r="A635" s="32">
        <v>632</v>
      </c>
      <c r="B635" s="168">
        <v>45961</v>
      </c>
      <c r="C635" s="168">
        <v>45961</v>
      </c>
      <c r="D635" s="205">
        <v>251031008</v>
      </c>
      <c r="E635" s="170" t="s">
        <v>1499</v>
      </c>
      <c r="F635" s="170" t="s">
        <v>1500</v>
      </c>
      <c r="G635" s="170">
        <v>34</v>
      </c>
      <c r="H635" s="183">
        <v>115</v>
      </c>
      <c r="I635" s="184" t="s">
        <v>46</v>
      </c>
      <c r="J635" s="35" t="s">
        <v>23</v>
      </c>
      <c r="K635" s="36" t="s">
        <v>38</v>
      </c>
      <c r="L635" s="170" t="s">
        <v>142</v>
      </c>
      <c r="M635" s="170" t="s">
        <v>48</v>
      </c>
      <c r="N635" s="170">
        <v>46.68</v>
      </c>
      <c r="O635" s="181">
        <v>11.82</v>
      </c>
      <c r="P635" s="173">
        <f t="shared" si="45"/>
        <v>34.86</v>
      </c>
      <c r="Q635" s="174">
        <v>545</v>
      </c>
      <c r="R635" s="175">
        <f t="shared" si="46"/>
        <v>18998.7</v>
      </c>
      <c r="S635" s="174"/>
      <c r="T635" s="176"/>
      <c r="V635" s="176" t="s">
        <v>24</v>
      </c>
      <c r="W635" s="174">
        <v>145</v>
      </c>
      <c r="X635" s="177">
        <f t="shared" si="47"/>
        <v>5054.7</v>
      </c>
      <c r="Y635" s="178">
        <v>260</v>
      </c>
      <c r="Z635" s="178">
        <f t="shared" si="48"/>
        <v>9063.6</v>
      </c>
      <c r="AA635" s="176">
        <f t="shared" si="49"/>
        <v>33117</v>
      </c>
    </row>
    <row r="636" spans="1:38" s="179" customFormat="1" ht="15.75">
      <c r="A636" s="32">
        <v>633</v>
      </c>
      <c r="B636" s="168">
        <v>45961</v>
      </c>
      <c r="C636" s="168">
        <v>45961</v>
      </c>
      <c r="D636" s="205">
        <v>251031009</v>
      </c>
      <c r="E636" s="170" t="s">
        <v>1501</v>
      </c>
      <c r="F636" s="170" t="s">
        <v>1502</v>
      </c>
      <c r="G636" s="170">
        <v>34</v>
      </c>
      <c r="H636" s="183">
        <v>115</v>
      </c>
      <c r="I636" s="184" t="s">
        <v>46</v>
      </c>
      <c r="J636" s="35" t="s">
        <v>23</v>
      </c>
      <c r="K636" s="36" t="s">
        <v>38</v>
      </c>
      <c r="L636" s="170" t="s">
        <v>101</v>
      </c>
      <c r="M636" s="170" t="s">
        <v>48</v>
      </c>
      <c r="N636" s="170">
        <v>46.44</v>
      </c>
      <c r="O636" s="170">
        <v>11.46</v>
      </c>
      <c r="P636" s="173">
        <f t="shared" si="45"/>
        <v>34.979999999999997</v>
      </c>
      <c r="Q636" s="174">
        <v>545</v>
      </c>
      <c r="R636" s="175">
        <f t="shared" si="46"/>
        <v>19064.099999999999</v>
      </c>
      <c r="S636" s="174"/>
      <c r="T636" s="176"/>
      <c r="V636" s="176" t="s">
        <v>24</v>
      </c>
      <c r="W636" s="174">
        <v>145</v>
      </c>
      <c r="X636" s="177">
        <f t="shared" si="47"/>
        <v>5072.0999999999995</v>
      </c>
      <c r="Y636" s="178">
        <v>260</v>
      </c>
      <c r="Z636" s="178">
        <f t="shared" si="48"/>
        <v>9094.7999999999993</v>
      </c>
      <c r="AA636" s="176">
        <f t="shared" si="49"/>
        <v>33231</v>
      </c>
    </row>
    <row r="637" spans="1:38" s="179" customFormat="1" ht="15.75">
      <c r="A637" s="32">
        <v>634</v>
      </c>
      <c r="B637" s="168">
        <v>45961</v>
      </c>
      <c r="C637" s="168">
        <v>45961</v>
      </c>
      <c r="D637" s="205">
        <v>251031010</v>
      </c>
      <c r="E637" s="170" t="s">
        <v>1503</v>
      </c>
      <c r="F637" s="170" t="s">
        <v>1504</v>
      </c>
      <c r="G637" s="170">
        <v>34</v>
      </c>
      <c r="H637" s="183">
        <v>115</v>
      </c>
      <c r="I637" s="184" t="s">
        <v>46</v>
      </c>
      <c r="J637" s="35" t="s">
        <v>23</v>
      </c>
      <c r="K637" s="36" t="s">
        <v>38</v>
      </c>
      <c r="L637" s="170" t="s">
        <v>113</v>
      </c>
      <c r="M637" s="170" t="s">
        <v>48</v>
      </c>
      <c r="N637" s="170">
        <v>46.9</v>
      </c>
      <c r="O637" s="170">
        <v>11.88</v>
      </c>
      <c r="P637" s="173">
        <f t="shared" si="45"/>
        <v>35.019999999999996</v>
      </c>
      <c r="Q637" s="174">
        <v>545</v>
      </c>
      <c r="R637" s="175">
        <f t="shared" si="46"/>
        <v>19085.899999999998</v>
      </c>
      <c r="S637" s="174"/>
      <c r="T637" s="176"/>
      <c r="V637" s="176" t="s">
        <v>24</v>
      </c>
      <c r="W637" s="174">
        <v>145</v>
      </c>
      <c r="X637" s="177">
        <f t="shared" si="47"/>
        <v>5077.8999999999996</v>
      </c>
      <c r="Y637" s="178">
        <v>260</v>
      </c>
      <c r="Z637" s="178">
        <f t="shared" si="48"/>
        <v>9105.1999999999989</v>
      </c>
      <c r="AA637" s="176">
        <f t="shared" si="49"/>
        <v>33268.999999999993</v>
      </c>
    </row>
    <row r="638" spans="1:38" s="182" customFormat="1" ht="15.75">
      <c r="A638" s="32">
        <v>635</v>
      </c>
      <c r="B638" s="168">
        <v>45961</v>
      </c>
      <c r="C638" s="168">
        <v>45961</v>
      </c>
      <c r="D638" s="205">
        <v>251031011</v>
      </c>
      <c r="E638" s="170" t="s">
        <v>1505</v>
      </c>
      <c r="F638" s="170" t="s">
        <v>1506</v>
      </c>
      <c r="G638" s="170">
        <v>37</v>
      </c>
      <c r="H638" s="191">
        <v>84</v>
      </c>
      <c r="I638" s="196" t="s">
        <v>1009</v>
      </c>
      <c r="J638" s="35" t="s">
        <v>23</v>
      </c>
      <c r="K638" s="36" t="s">
        <v>38</v>
      </c>
      <c r="L638" s="170" t="s">
        <v>311</v>
      </c>
      <c r="M638" s="170" t="s">
        <v>48</v>
      </c>
      <c r="N638" s="181">
        <v>49.16</v>
      </c>
      <c r="O638" s="170">
        <v>11.52</v>
      </c>
      <c r="P638" s="173">
        <f t="shared" si="45"/>
        <v>37.64</v>
      </c>
      <c r="Q638" s="174">
        <v>515</v>
      </c>
      <c r="R638" s="175">
        <f t="shared" si="46"/>
        <v>19384.599999999999</v>
      </c>
      <c r="S638" s="174"/>
      <c r="T638" s="176"/>
      <c r="V638" s="176" t="s">
        <v>24</v>
      </c>
      <c r="W638" s="174">
        <v>145</v>
      </c>
      <c r="X638" s="177">
        <f t="shared" si="47"/>
        <v>5457.8</v>
      </c>
      <c r="Y638" s="178">
        <v>210</v>
      </c>
      <c r="Z638" s="176">
        <f t="shared" si="48"/>
        <v>7904.4000000000005</v>
      </c>
      <c r="AA638" s="176">
        <f t="shared" si="49"/>
        <v>32746.799999999999</v>
      </c>
    </row>
    <row r="639" spans="1:38" s="179" customFormat="1" ht="15.75">
      <c r="A639" s="32">
        <v>636</v>
      </c>
      <c r="B639" s="168">
        <v>45961</v>
      </c>
      <c r="C639" s="168">
        <v>45961</v>
      </c>
      <c r="D639" s="205" t="s">
        <v>1507</v>
      </c>
      <c r="E639" s="170" t="s">
        <v>1508</v>
      </c>
      <c r="F639" s="170" t="s">
        <v>1509</v>
      </c>
      <c r="G639" s="170">
        <v>48</v>
      </c>
      <c r="H639" s="191">
        <v>84</v>
      </c>
      <c r="I639" s="196" t="s">
        <v>1009</v>
      </c>
      <c r="J639" s="35" t="s">
        <v>23</v>
      </c>
      <c r="K639" s="36" t="s">
        <v>38</v>
      </c>
      <c r="L639" s="170" t="s">
        <v>623</v>
      </c>
      <c r="M639" s="170" t="s">
        <v>48</v>
      </c>
      <c r="N639" s="170">
        <v>67.12</v>
      </c>
      <c r="O639" s="181">
        <v>18.32</v>
      </c>
      <c r="P639" s="173">
        <f t="shared" si="45"/>
        <v>48.800000000000004</v>
      </c>
      <c r="Q639" s="174">
        <v>515</v>
      </c>
      <c r="R639" s="175">
        <f t="shared" si="46"/>
        <v>25132.000000000004</v>
      </c>
      <c r="S639" s="174"/>
      <c r="T639" s="176"/>
      <c r="V639" s="176" t="s">
        <v>24</v>
      </c>
      <c r="W639" s="174">
        <v>145</v>
      </c>
      <c r="X639" s="177">
        <f t="shared" si="47"/>
        <v>7076.0000000000009</v>
      </c>
      <c r="Y639" s="178">
        <v>210</v>
      </c>
      <c r="Z639" s="176">
        <f t="shared" si="48"/>
        <v>10248</v>
      </c>
      <c r="AA639" s="176">
        <f t="shared" si="49"/>
        <v>42456</v>
      </c>
    </row>
    <row r="640" spans="1:38" s="179" customFormat="1" ht="15.75">
      <c r="A640" s="32">
        <v>637</v>
      </c>
      <c r="B640" s="168">
        <v>45961</v>
      </c>
      <c r="C640" s="168">
        <v>45961</v>
      </c>
      <c r="D640" s="205">
        <v>251031012</v>
      </c>
      <c r="E640" s="170" t="s">
        <v>1510</v>
      </c>
      <c r="F640" s="170" t="s">
        <v>1511</v>
      </c>
      <c r="G640" s="170">
        <v>49</v>
      </c>
      <c r="H640" s="191">
        <v>42</v>
      </c>
      <c r="I640" s="184" t="s">
        <v>1512</v>
      </c>
      <c r="J640" s="35" t="s">
        <v>23</v>
      </c>
      <c r="K640" s="36" t="s">
        <v>38</v>
      </c>
      <c r="L640" s="170" t="s">
        <v>54</v>
      </c>
      <c r="M640" s="170" t="s">
        <v>40</v>
      </c>
      <c r="N640" s="181">
        <v>66.599999999999994</v>
      </c>
      <c r="O640" s="170">
        <v>16.920000000000002</v>
      </c>
      <c r="P640" s="173">
        <f t="shared" si="45"/>
        <v>49.679999999999993</v>
      </c>
      <c r="Q640" s="174">
        <v>305</v>
      </c>
      <c r="R640" s="175">
        <f t="shared" si="46"/>
        <v>15152.399999999998</v>
      </c>
      <c r="S640" s="174"/>
      <c r="T640" s="176"/>
      <c r="V640" s="176" t="s">
        <v>24</v>
      </c>
      <c r="W640" s="174">
        <v>145</v>
      </c>
      <c r="X640" s="177">
        <f t="shared" si="47"/>
        <v>7203.5999999999985</v>
      </c>
      <c r="Y640" s="178">
        <v>260</v>
      </c>
      <c r="Z640" s="176">
        <f t="shared" si="48"/>
        <v>12916.799999999997</v>
      </c>
      <c r="AA640" s="176">
        <f t="shared" si="49"/>
        <v>35272.799999999996</v>
      </c>
    </row>
    <row r="641" spans="1:27" s="179" customFormat="1" ht="15.75">
      <c r="A641" s="32">
        <v>638</v>
      </c>
      <c r="B641" s="168">
        <v>45961</v>
      </c>
      <c r="C641" s="168">
        <v>45961</v>
      </c>
      <c r="D641" s="205">
        <v>251031013</v>
      </c>
      <c r="E641" s="170" t="s">
        <v>1513</v>
      </c>
      <c r="F641" s="170" t="s">
        <v>1514</v>
      </c>
      <c r="G641" s="170">
        <v>48</v>
      </c>
      <c r="H641" s="191">
        <v>42</v>
      </c>
      <c r="I641" s="184" t="s">
        <v>1512</v>
      </c>
      <c r="J641" s="35" t="s">
        <v>23</v>
      </c>
      <c r="K641" s="36" t="s">
        <v>38</v>
      </c>
      <c r="L641" s="170" t="s">
        <v>64</v>
      </c>
      <c r="M641" s="170" t="s">
        <v>40</v>
      </c>
      <c r="N641" s="170">
        <v>64.7</v>
      </c>
      <c r="O641" s="170">
        <v>16.440000000000001</v>
      </c>
      <c r="P641" s="173">
        <f t="shared" si="45"/>
        <v>48.260000000000005</v>
      </c>
      <c r="Q641" s="174">
        <v>305</v>
      </c>
      <c r="R641" s="175">
        <f t="shared" si="46"/>
        <v>14719.300000000001</v>
      </c>
      <c r="S641" s="174"/>
      <c r="T641" s="176"/>
      <c r="V641" s="176" t="s">
        <v>24</v>
      </c>
      <c r="W641" s="174">
        <v>145</v>
      </c>
      <c r="X641" s="177">
        <f t="shared" si="47"/>
        <v>6997.7000000000007</v>
      </c>
      <c r="Y641" s="178">
        <v>260</v>
      </c>
      <c r="Z641" s="176">
        <f t="shared" si="48"/>
        <v>12547.600000000002</v>
      </c>
      <c r="AA641" s="176">
        <f t="shared" si="49"/>
        <v>34264.600000000006</v>
      </c>
    </row>
    <row r="642" spans="1:27" s="179" customFormat="1" ht="15.75">
      <c r="A642" s="32">
        <v>639</v>
      </c>
      <c r="B642" s="168">
        <v>45961</v>
      </c>
      <c r="C642" s="168">
        <v>45961</v>
      </c>
      <c r="D642" s="205">
        <v>251031014</v>
      </c>
      <c r="E642" s="170" t="s">
        <v>1515</v>
      </c>
      <c r="F642" s="170" t="s">
        <v>1516</v>
      </c>
      <c r="G642" s="170">
        <v>47</v>
      </c>
      <c r="H642" s="191">
        <v>42</v>
      </c>
      <c r="I642" s="184" t="s">
        <v>1512</v>
      </c>
      <c r="J642" s="35" t="s">
        <v>23</v>
      </c>
      <c r="K642" s="36" t="s">
        <v>38</v>
      </c>
      <c r="L642" s="170" t="s">
        <v>1321</v>
      </c>
      <c r="M642" s="170" t="s">
        <v>40</v>
      </c>
      <c r="N642" s="170">
        <v>65.239999999999995</v>
      </c>
      <c r="O642" s="170">
        <v>18.100000000000001</v>
      </c>
      <c r="P642" s="173">
        <f t="shared" si="45"/>
        <v>47.139999999999993</v>
      </c>
      <c r="Q642" s="174">
        <v>305</v>
      </c>
      <c r="R642" s="175">
        <f t="shared" si="46"/>
        <v>14377.699999999999</v>
      </c>
      <c r="S642" s="174"/>
      <c r="T642" s="176"/>
      <c r="V642" s="176" t="s">
        <v>24</v>
      </c>
      <c r="W642" s="174">
        <v>145</v>
      </c>
      <c r="X642" s="177">
        <f t="shared" si="47"/>
        <v>6835.2999999999993</v>
      </c>
      <c r="Y642" s="178">
        <v>260</v>
      </c>
      <c r="Z642" s="176">
        <f t="shared" si="48"/>
        <v>12256.399999999998</v>
      </c>
      <c r="AA642" s="176">
        <f t="shared" si="49"/>
        <v>33469.399999999994</v>
      </c>
    </row>
    <row r="643" spans="1:27" s="179" customFormat="1" ht="15.75">
      <c r="A643" s="32">
        <v>640</v>
      </c>
      <c r="B643" s="168">
        <v>45961</v>
      </c>
      <c r="C643" s="168">
        <v>45961</v>
      </c>
      <c r="D643" s="205">
        <v>251031015</v>
      </c>
      <c r="E643" s="170" t="s">
        <v>1517</v>
      </c>
      <c r="F643" s="170" t="s">
        <v>1518</v>
      </c>
      <c r="G643" s="170">
        <v>36</v>
      </c>
      <c r="H643" s="191">
        <v>42</v>
      </c>
      <c r="I643" s="184" t="s">
        <v>1512</v>
      </c>
      <c r="J643" s="35" t="s">
        <v>23</v>
      </c>
      <c r="K643" s="36" t="s">
        <v>38</v>
      </c>
      <c r="L643" s="170" t="s">
        <v>1519</v>
      </c>
      <c r="M643" s="170" t="s">
        <v>55</v>
      </c>
      <c r="N643" s="170">
        <v>47.84</v>
      </c>
      <c r="O643" s="170">
        <v>11.44</v>
      </c>
      <c r="P643" s="173">
        <f t="shared" si="45"/>
        <v>36.400000000000006</v>
      </c>
      <c r="Q643" s="174">
        <v>495</v>
      </c>
      <c r="R643" s="175">
        <f t="shared" si="46"/>
        <v>18018.000000000004</v>
      </c>
      <c r="S643" s="174"/>
      <c r="T643" s="176"/>
      <c r="V643" s="176" t="s">
        <v>24</v>
      </c>
      <c r="W643" s="174">
        <v>145</v>
      </c>
      <c r="X643" s="177">
        <f t="shared" si="47"/>
        <v>5278.0000000000009</v>
      </c>
      <c r="Y643" s="178">
        <v>260</v>
      </c>
      <c r="Z643" s="176">
        <f t="shared" si="48"/>
        <v>9464.0000000000018</v>
      </c>
      <c r="AA643" s="176">
        <f t="shared" si="49"/>
        <v>32760.000000000007</v>
      </c>
    </row>
    <row r="644" spans="1:27" s="179" customFormat="1" ht="15.75">
      <c r="A644" s="32">
        <v>641</v>
      </c>
      <c r="B644" s="168">
        <v>45961</v>
      </c>
      <c r="C644" s="168">
        <v>45961</v>
      </c>
      <c r="D644" s="205">
        <v>251031016</v>
      </c>
      <c r="E644" s="170" t="s">
        <v>1520</v>
      </c>
      <c r="F644" s="170" t="s">
        <v>1521</v>
      </c>
      <c r="G644" s="170">
        <v>46</v>
      </c>
      <c r="H644" s="191">
        <v>42</v>
      </c>
      <c r="I644" s="184" t="s">
        <v>1512</v>
      </c>
      <c r="J644" s="35" t="s">
        <v>23</v>
      </c>
      <c r="K644" s="36" t="s">
        <v>38</v>
      </c>
      <c r="L644" s="170" t="s">
        <v>904</v>
      </c>
      <c r="M644" s="170" t="s">
        <v>48</v>
      </c>
      <c r="N644" s="170">
        <v>62.78</v>
      </c>
      <c r="O644" s="170">
        <v>15.54</v>
      </c>
      <c r="P644" s="173">
        <f t="shared" ref="P644:P651" si="50">N644-O644</f>
        <v>47.24</v>
      </c>
      <c r="Q644" s="174">
        <v>545</v>
      </c>
      <c r="R644" s="175">
        <f t="shared" ref="R644:R650" si="51">Q644*P644</f>
        <v>25745.8</v>
      </c>
      <c r="S644" s="174"/>
      <c r="T644" s="176"/>
      <c r="V644" s="176" t="s">
        <v>24</v>
      </c>
      <c r="W644" s="174">
        <v>145</v>
      </c>
      <c r="X644" s="177">
        <f t="shared" ref="X644:X651" si="52">W644*P644</f>
        <v>6849.8</v>
      </c>
      <c r="Y644" s="178">
        <v>260</v>
      </c>
      <c r="Z644" s="176">
        <f t="shared" ref="Z644:Z651" si="53">Y644*P644</f>
        <v>12282.4</v>
      </c>
      <c r="AA644" s="176">
        <f t="shared" ref="AA644:AA651" si="54">R644+X644+Z644</f>
        <v>44878</v>
      </c>
    </row>
    <row r="645" spans="1:27" s="179" customFormat="1" ht="15.75">
      <c r="A645" s="32">
        <v>642</v>
      </c>
      <c r="B645" s="168">
        <v>45961</v>
      </c>
      <c r="C645" s="168">
        <v>45961</v>
      </c>
      <c r="D645" s="205">
        <v>251031017</v>
      </c>
      <c r="E645" s="170" t="s">
        <v>1522</v>
      </c>
      <c r="F645" s="170" t="s">
        <v>1523</v>
      </c>
      <c r="G645" s="170">
        <v>50</v>
      </c>
      <c r="H645" s="191">
        <v>42</v>
      </c>
      <c r="I645" s="184" t="s">
        <v>1512</v>
      </c>
      <c r="J645" s="35" t="s">
        <v>23</v>
      </c>
      <c r="K645" s="36" t="s">
        <v>38</v>
      </c>
      <c r="L645" s="170" t="s">
        <v>76</v>
      </c>
      <c r="M645" s="170" t="s">
        <v>48</v>
      </c>
      <c r="N645" s="170">
        <v>69.260000000000005</v>
      </c>
      <c r="O645" s="170">
        <v>18.82</v>
      </c>
      <c r="P645" s="173">
        <f t="shared" si="50"/>
        <v>50.440000000000005</v>
      </c>
      <c r="Q645" s="174">
        <v>545</v>
      </c>
      <c r="R645" s="175">
        <f t="shared" si="51"/>
        <v>27489.800000000003</v>
      </c>
      <c r="S645" s="174"/>
      <c r="T645" s="176"/>
      <c r="V645" s="176" t="s">
        <v>24</v>
      </c>
      <c r="W645" s="174">
        <v>145</v>
      </c>
      <c r="X645" s="177">
        <f t="shared" si="52"/>
        <v>7313.8000000000011</v>
      </c>
      <c r="Y645" s="178">
        <v>260</v>
      </c>
      <c r="Z645" s="176">
        <f t="shared" si="53"/>
        <v>13114.400000000001</v>
      </c>
      <c r="AA645" s="176">
        <f t="shared" si="54"/>
        <v>47918.000000000007</v>
      </c>
    </row>
    <row r="646" spans="1:27" s="182" customFormat="1" ht="15.75">
      <c r="A646" s="32">
        <v>643</v>
      </c>
      <c r="B646" s="168">
        <v>45961</v>
      </c>
      <c r="C646" s="168">
        <v>45961</v>
      </c>
      <c r="D646" s="205">
        <v>251031018</v>
      </c>
      <c r="E646" s="170" t="s">
        <v>1524</v>
      </c>
      <c r="F646" s="170" t="s">
        <v>1525</v>
      </c>
      <c r="G646" s="170">
        <v>51</v>
      </c>
      <c r="H646" s="191">
        <v>42</v>
      </c>
      <c r="I646" s="184" t="s">
        <v>1512</v>
      </c>
      <c r="J646" s="35" t="s">
        <v>23</v>
      </c>
      <c r="K646" s="36" t="s">
        <v>38</v>
      </c>
      <c r="L646" s="170" t="s">
        <v>236</v>
      </c>
      <c r="M646" s="170" t="s">
        <v>48</v>
      </c>
      <c r="N646" s="181">
        <v>70.900000000000006</v>
      </c>
      <c r="O646" s="170">
        <v>18.34</v>
      </c>
      <c r="P646" s="173">
        <f t="shared" si="50"/>
        <v>52.56</v>
      </c>
      <c r="Q646" s="174">
        <v>545</v>
      </c>
      <c r="R646" s="175">
        <f t="shared" si="51"/>
        <v>28645.200000000001</v>
      </c>
      <c r="S646" s="174"/>
      <c r="T646" s="176"/>
      <c r="V646" s="176" t="s">
        <v>24</v>
      </c>
      <c r="W646" s="174">
        <v>145</v>
      </c>
      <c r="X646" s="177">
        <f t="shared" si="52"/>
        <v>7621.2000000000007</v>
      </c>
      <c r="Y646" s="178">
        <v>260</v>
      </c>
      <c r="Z646" s="176">
        <f t="shared" si="53"/>
        <v>13665.6</v>
      </c>
      <c r="AA646" s="176">
        <f t="shared" si="54"/>
        <v>49932</v>
      </c>
    </row>
    <row r="647" spans="1:27" s="182" customFormat="1" ht="15.75">
      <c r="A647" s="32">
        <v>644</v>
      </c>
      <c r="B647" s="168">
        <v>45961</v>
      </c>
      <c r="C647" s="168">
        <v>45961</v>
      </c>
      <c r="D647" s="205">
        <v>251031019</v>
      </c>
      <c r="E647" s="170" t="s">
        <v>1526</v>
      </c>
      <c r="F647" s="170" t="s">
        <v>1527</v>
      </c>
      <c r="G647" s="170">
        <v>48</v>
      </c>
      <c r="H647" s="191">
        <v>42</v>
      </c>
      <c r="I647" s="184" t="s">
        <v>1512</v>
      </c>
      <c r="J647" s="35" t="s">
        <v>23</v>
      </c>
      <c r="K647" s="36" t="s">
        <v>38</v>
      </c>
      <c r="L647" s="170" t="s">
        <v>404</v>
      </c>
      <c r="M647" s="170" t="s">
        <v>48</v>
      </c>
      <c r="N647" s="170">
        <v>66.819999999999993</v>
      </c>
      <c r="O647" s="170">
        <v>18.28</v>
      </c>
      <c r="P647" s="173">
        <f t="shared" si="50"/>
        <v>48.539999999999992</v>
      </c>
      <c r="Q647" s="174">
        <v>545</v>
      </c>
      <c r="R647" s="175">
        <f t="shared" si="51"/>
        <v>26454.299999999996</v>
      </c>
      <c r="S647" s="174"/>
      <c r="T647" s="176"/>
      <c r="V647" s="176" t="s">
        <v>24</v>
      </c>
      <c r="W647" s="174">
        <v>145</v>
      </c>
      <c r="X647" s="177">
        <f t="shared" si="52"/>
        <v>7038.2999999999993</v>
      </c>
      <c r="Y647" s="178">
        <v>260</v>
      </c>
      <c r="Z647" s="176">
        <f t="shared" si="53"/>
        <v>12620.399999999998</v>
      </c>
      <c r="AA647" s="176">
        <f t="shared" si="54"/>
        <v>46112.999999999985</v>
      </c>
    </row>
    <row r="648" spans="1:27" s="182" customFormat="1" ht="15.75">
      <c r="A648" s="32">
        <v>645</v>
      </c>
      <c r="B648" s="168">
        <v>45961</v>
      </c>
      <c r="C648" s="168">
        <v>45961</v>
      </c>
      <c r="D648" s="205">
        <v>251031020</v>
      </c>
      <c r="E648" s="170" t="s">
        <v>1528</v>
      </c>
      <c r="F648" s="170" t="s">
        <v>1529</v>
      </c>
      <c r="G648" s="170">
        <v>44</v>
      </c>
      <c r="H648" s="191">
        <v>42</v>
      </c>
      <c r="I648" s="184" t="s">
        <v>1512</v>
      </c>
      <c r="J648" s="35" t="s">
        <v>23</v>
      </c>
      <c r="K648" s="36" t="s">
        <v>38</v>
      </c>
      <c r="L648" s="170" t="s">
        <v>134</v>
      </c>
      <c r="M648" s="170" t="s">
        <v>48</v>
      </c>
      <c r="N648" s="181">
        <v>59.9</v>
      </c>
      <c r="O648" s="170">
        <v>15.64</v>
      </c>
      <c r="P648" s="173">
        <f t="shared" si="50"/>
        <v>44.26</v>
      </c>
      <c r="Q648" s="174">
        <v>545</v>
      </c>
      <c r="R648" s="175">
        <f t="shared" si="51"/>
        <v>24121.7</v>
      </c>
      <c r="S648" s="174"/>
      <c r="T648" s="176"/>
      <c r="V648" s="176" t="s">
        <v>24</v>
      </c>
      <c r="W648" s="174">
        <v>145</v>
      </c>
      <c r="X648" s="177">
        <f t="shared" si="52"/>
        <v>6417.7</v>
      </c>
      <c r="Y648" s="178">
        <v>260</v>
      </c>
      <c r="Z648" s="178">
        <f t="shared" si="53"/>
        <v>11507.6</v>
      </c>
      <c r="AA648" s="176">
        <f t="shared" si="54"/>
        <v>42047</v>
      </c>
    </row>
    <row r="649" spans="1:27" s="179" customFormat="1" ht="15.75">
      <c r="A649" s="32">
        <v>646</v>
      </c>
      <c r="B649" s="168">
        <v>45961</v>
      </c>
      <c r="C649" s="168">
        <v>45961</v>
      </c>
      <c r="D649" s="205">
        <v>251031021</v>
      </c>
      <c r="E649" s="170" t="s">
        <v>1530</v>
      </c>
      <c r="F649" s="170" t="s">
        <v>1531</v>
      </c>
      <c r="G649" s="170">
        <v>49</v>
      </c>
      <c r="H649" s="191">
        <v>42</v>
      </c>
      <c r="I649" s="184" t="s">
        <v>1512</v>
      </c>
      <c r="J649" s="35" t="s">
        <v>23</v>
      </c>
      <c r="K649" s="36" t="s">
        <v>38</v>
      </c>
      <c r="L649" s="170" t="s">
        <v>119</v>
      </c>
      <c r="M649" s="170" t="s">
        <v>55</v>
      </c>
      <c r="N649" s="170">
        <v>67.819999999999993</v>
      </c>
      <c r="O649" s="170">
        <v>17.98</v>
      </c>
      <c r="P649" s="173">
        <f t="shared" si="50"/>
        <v>49.839999999999989</v>
      </c>
      <c r="Q649" s="174">
        <v>495</v>
      </c>
      <c r="R649" s="175">
        <f t="shared" si="51"/>
        <v>24670.799999999996</v>
      </c>
      <c r="S649" s="174"/>
      <c r="T649" s="176"/>
      <c r="V649" s="176" t="s">
        <v>24</v>
      </c>
      <c r="W649" s="174">
        <v>145</v>
      </c>
      <c r="X649" s="177">
        <f t="shared" si="52"/>
        <v>7226.7999999999984</v>
      </c>
      <c r="Y649" s="178">
        <v>260</v>
      </c>
      <c r="Z649" s="176">
        <f t="shared" si="53"/>
        <v>12958.399999999998</v>
      </c>
      <c r="AA649" s="176">
        <f t="shared" si="54"/>
        <v>44855.999999999993</v>
      </c>
    </row>
    <row r="650" spans="1:27" s="179" customFormat="1" ht="15.75">
      <c r="A650" s="32">
        <v>647</v>
      </c>
      <c r="B650" s="168">
        <v>45961</v>
      </c>
      <c r="C650" s="168">
        <v>45961</v>
      </c>
      <c r="D650" s="205">
        <v>251031025</v>
      </c>
      <c r="E650" s="170" t="s">
        <v>1532</v>
      </c>
      <c r="F650" s="170" t="s">
        <v>1533</v>
      </c>
      <c r="G650" s="170">
        <v>46</v>
      </c>
      <c r="H650" s="183">
        <v>115</v>
      </c>
      <c r="I650" s="184" t="s">
        <v>46</v>
      </c>
      <c r="J650" s="35" t="s">
        <v>23</v>
      </c>
      <c r="K650" s="36" t="s">
        <v>38</v>
      </c>
      <c r="L650" s="170" t="s">
        <v>1326</v>
      </c>
      <c r="M650" s="170" t="s">
        <v>40</v>
      </c>
      <c r="N650" s="170">
        <v>65.16</v>
      </c>
      <c r="O650" s="170">
        <v>17.84</v>
      </c>
      <c r="P650" s="173">
        <f t="shared" si="50"/>
        <v>47.319999999999993</v>
      </c>
      <c r="Q650" s="174">
        <v>315</v>
      </c>
      <c r="R650" s="175">
        <f t="shared" si="51"/>
        <v>14905.799999999997</v>
      </c>
      <c r="S650" s="174"/>
      <c r="T650" s="176"/>
      <c r="V650" s="176" t="s">
        <v>24</v>
      </c>
      <c r="W650" s="174">
        <v>145</v>
      </c>
      <c r="X650" s="177">
        <f t="shared" si="52"/>
        <v>6861.3999999999987</v>
      </c>
      <c r="Y650" s="178">
        <v>260</v>
      </c>
      <c r="Z650" s="178">
        <f t="shared" si="53"/>
        <v>12303.199999999999</v>
      </c>
      <c r="AA650" s="176">
        <f t="shared" si="54"/>
        <v>34070.399999999994</v>
      </c>
    </row>
    <row r="651" spans="1:27" s="179" customFormat="1" ht="15.75">
      <c r="A651" s="32">
        <v>648</v>
      </c>
      <c r="B651" s="168">
        <v>45961</v>
      </c>
      <c r="C651" s="168">
        <v>45961</v>
      </c>
      <c r="D651" s="204" t="s">
        <v>1534</v>
      </c>
      <c r="E651" s="170"/>
      <c r="F651" s="170"/>
      <c r="G651" s="170"/>
      <c r="H651" s="171"/>
      <c r="I651" s="171" t="s">
        <v>388</v>
      </c>
      <c r="J651" s="35" t="s">
        <v>23</v>
      </c>
      <c r="K651" s="36" t="s">
        <v>38</v>
      </c>
      <c r="L651" s="170" t="s">
        <v>1535</v>
      </c>
      <c r="M651" s="170" t="s">
        <v>48</v>
      </c>
      <c r="N651" s="170">
        <v>44.18</v>
      </c>
      <c r="O651" s="170">
        <v>11.62</v>
      </c>
      <c r="P651" s="173">
        <f t="shared" si="50"/>
        <v>32.56</v>
      </c>
      <c r="Q651" s="174">
        <v>550</v>
      </c>
      <c r="R651" s="175">
        <f t="shared" ref="R651" si="55">Q651*P651</f>
        <v>17908</v>
      </c>
      <c r="S651" s="174"/>
      <c r="T651" s="176"/>
      <c r="V651" s="176" t="s">
        <v>217</v>
      </c>
      <c r="W651" s="174"/>
      <c r="X651" s="177">
        <f t="shared" si="52"/>
        <v>0</v>
      </c>
      <c r="Y651" s="178"/>
      <c r="Z651" s="178">
        <f t="shared" si="53"/>
        <v>0</v>
      </c>
      <c r="AA651" s="176">
        <f t="shared" si="54"/>
        <v>17908</v>
      </c>
    </row>
  </sheetData>
  <mergeCells count="20">
    <mergeCell ref="M1:M2"/>
    <mergeCell ref="A1:A2"/>
    <mergeCell ref="B1:B2"/>
    <mergeCell ref="C1:C2"/>
    <mergeCell ref="D1:D2"/>
    <mergeCell ref="E1:E2"/>
    <mergeCell ref="F1:F2"/>
    <mergeCell ref="H1:H2"/>
    <mergeCell ref="I1:I2"/>
    <mergeCell ref="J1:J2"/>
    <mergeCell ref="K1:K2"/>
    <mergeCell ref="L1:L2"/>
    <mergeCell ref="V1:V2"/>
    <mergeCell ref="AB1:AB2"/>
    <mergeCell ref="N1:N2"/>
    <mergeCell ref="O1:O2"/>
    <mergeCell ref="Q1:Q2"/>
    <mergeCell ref="S1:S2"/>
    <mergeCell ref="T1:T2"/>
    <mergeCell ref="U1:U2"/>
  </mergeCells>
  <conditionalFormatting sqref="I4">
    <cfRule type="duplicateValues" dxfId="404" priority="509"/>
  </conditionalFormatting>
  <conditionalFormatting sqref="I5">
    <cfRule type="duplicateValues" dxfId="403" priority="506"/>
  </conditionalFormatting>
  <conditionalFormatting sqref="I6">
    <cfRule type="duplicateValues" dxfId="402" priority="505"/>
  </conditionalFormatting>
  <conditionalFormatting sqref="I20">
    <cfRule type="duplicateValues" dxfId="401" priority="500"/>
  </conditionalFormatting>
  <conditionalFormatting sqref="I21">
    <cfRule type="duplicateValues" dxfId="400" priority="499"/>
  </conditionalFormatting>
  <conditionalFormatting sqref="I22">
    <cfRule type="duplicateValues" dxfId="399" priority="498"/>
  </conditionalFormatting>
  <conditionalFormatting sqref="I25">
    <cfRule type="duplicateValues" dxfId="398" priority="492"/>
  </conditionalFormatting>
  <conditionalFormatting sqref="I26">
    <cfRule type="duplicateValues" dxfId="397" priority="495"/>
    <cfRule type="duplicateValues" dxfId="396" priority="496"/>
  </conditionalFormatting>
  <conditionalFormatting sqref="I27">
    <cfRule type="duplicateValues" dxfId="395" priority="494"/>
    <cfRule type="duplicateValues" dxfId="394" priority="493"/>
  </conditionalFormatting>
  <conditionalFormatting sqref="I37">
    <cfRule type="duplicateValues" dxfId="393" priority="490"/>
    <cfRule type="duplicateValues" dxfId="392" priority="491"/>
  </conditionalFormatting>
  <conditionalFormatting sqref="I42">
    <cfRule type="duplicateValues" dxfId="391" priority="488"/>
    <cfRule type="duplicateValues" dxfId="390" priority="489"/>
  </conditionalFormatting>
  <conditionalFormatting sqref="I43">
    <cfRule type="duplicateValues" dxfId="389" priority="487"/>
  </conditionalFormatting>
  <conditionalFormatting sqref="I44">
    <cfRule type="duplicateValues" dxfId="388" priority="486"/>
  </conditionalFormatting>
  <conditionalFormatting sqref="I45">
    <cfRule type="duplicateValues" dxfId="387" priority="485"/>
  </conditionalFormatting>
  <conditionalFormatting sqref="I46">
    <cfRule type="duplicateValues" dxfId="386" priority="484"/>
  </conditionalFormatting>
  <conditionalFormatting sqref="I47">
    <cfRule type="duplicateValues" dxfId="385" priority="483"/>
  </conditionalFormatting>
  <conditionalFormatting sqref="I48">
    <cfRule type="duplicateValues" dxfId="384" priority="482"/>
  </conditionalFormatting>
  <conditionalFormatting sqref="I49">
    <cfRule type="duplicateValues" dxfId="383" priority="481"/>
  </conditionalFormatting>
  <conditionalFormatting sqref="I50">
    <cfRule type="duplicateValues" dxfId="382" priority="480"/>
  </conditionalFormatting>
  <conditionalFormatting sqref="I51">
    <cfRule type="duplicateValues" dxfId="381" priority="479"/>
  </conditionalFormatting>
  <conditionalFormatting sqref="I52">
    <cfRule type="duplicateValues" dxfId="380" priority="478"/>
  </conditionalFormatting>
  <conditionalFormatting sqref="I53">
    <cfRule type="duplicateValues" dxfId="379" priority="477"/>
  </conditionalFormatting>
  <conditionalFormatting sqref="I54">
    <cfRule type="duplicateValues" dxfId="378" priority="476"/>
  </conditionalFormatting>
  <conditionalFormatting sqref="I55">
    <cfRule type="duplicateValues" dxfId="377" priority="475"/>
  </conditionalFormatting>
  <conditionalFormatting sqref="I56">
    <cfRule type="duplicateValues" dxfId="376" priority="474"/>
  </conditionalFormatting>
  <conditionalFormatting sqref="I57">
    <cfRule type="duplicateValues" dxfId="375" priority="473"/>
  </conditionalFormatting>
  <conditionalFormatting sqref="I58">
    <cfRule type="duplicateValues" dxfId="374" priority="472"/>
  </conditionalFormatting>
  <conditionalFormatting sqref="I59">
    <cfRule type="duplicateValues" dxfId="373" priority="471"/>
  </conditionalFormatting>
  <conditionalFormatting sqref="I60">
    <cfRule type="duplicateValues" dxfId="372" priority="470"/>
  </conditionalFormatting>
  <conditionalFormatting sqref="I61">
    <cfRule type="duplicateValues" dxfId="371" priority="469"/>
  </conditionalFormatting>
  <conditionalFormatting sqref="I62">
    <cfRule type="duplicateValues" dxfId="370" priority="468"/>
  </conditionalFormatting>
  <conditionalFormatting sqref="I63">
    <cfRule type="duplicateValues" dxfId="369" priority="467"/>
  </conditionalFormatting>
  <conditionalFormatting sqref="I64">
    <cfRule type="duplicateValues" dxfId="368" priority="466"/>
  </conditionalFormatting>
  <conditionalFormatting sqref="I65">
    <cfRule type="duplicateValues" dxfId="367" priority="465"/>
  </conditionalFormatting>
  <conditionalFormatting sqref="I80">
    <cfRule type="duplicateValues" dxfId="366" priority="497"/>
  </conditionalFormatting>
  <conditionalFormatting sqref="I81">
    <cfRule type="duplicateValues" dxfId="365" priority="464"/>
  </conditionalFormatting>
  <conditionalFormatting sqref="I82">
    <cfRule type="duplicateValues" dxfId="364" priority="463"/>
  </conditionalFormatting>
  <conditionalFormatting sqref="I83">
    <cfRule type="duplicateValues" dxfId="363" priority="462"/>
  </conditionalFormatting>
  <conditionalFormatting sqref="I84">
    <cfRule type="duplicateValues" dxfId="362" priority="461"/>
  </conditionalFormatting>
  <conditionalFormatting sqref="I85">
    <cfRule type="duplicateValues" dxfId="361" priority="460"/>
  </conditionalFormatting>
  <conditionalFormatting sqref="I91">
    <cfRule type="duplicateValues" dxfId="360" priority="457"/>
  </conditionalFormatting>
  <conditionalFormatting sqref="I94">
    <cfRule type="duplicateValues" dxfId="359" priority="454"/>
  </conditionalFormatting>
  <conditionalFormatting sqref="I106">
    <cfRule type="duplicateValues" dxfId="358" priority="447"/>
    <cfRule type="duplicateValues" dxfId="357" priority="446"/>
  </conditionalFormatting>
  <conditionalFormatting sqref="I107">
    <cfRule type="duplicateValues" dxfId="356" priority="443"/>
    <cfRule type="duplicateValues" dxfId="355" priority="442"/>
  </conditionalFormatting>
  <conditionalFormatting sqref="I110">
    <cfRule type="duplicateValues" dxfId="354" priority="439"/>
  </conditionalFormatting>
  <conditionalFormatting sqref="I111">
    <cfRule type="duplicateValues" dxfId="353" priority="438"/>
  </conditionalFormatting>
  <conditionalFormatting sqref="I112">
    <cfRule type="duplicateValues" dxfId="352" priority="437"/>
  </conditionalFormatting>
  <conditionalFormatting sqref="I113">
    <cfRule type="duplicateValues" dxfId="351" priority="436"/>
  </conditionalFormatting>
  <conditionalFormatting sqref="I114">
    <cfRule type="duplicateValues" dxfId="350" priority="435"/>
  </conditionalFormatting>
  <conditionalFormatting sqref="I115">
    <cfRule type="duplicateValues" dxfId="349" priority="434"/>
  </conditionalFormatting>
  <conditionalFormatting sqref="I116">
    <cfRule type="duplicateValues" dxfId="348" priority="433"/>
  </conditionalFormatting>
  <conditionalFormatting sqref="I117">
    <cfRule type="duplicateValues" dxfId="347" priority="431"/>
  </conditionalFormatting>
  <conditionalFormatting sqref="I118">
    <cfRule type="duplicateValues" dxfId="346" priority="432"/>
  </conditionalFormatting>
  <conditionalFormatting sqref="I119">
    <cfRule type="duplicateValues" dxfId="345" priority="430"/>
  </conditionalFormatting>
  <conditionalFormatting sqref="I120">
    <cfRule type="duplicateValues" dxfId="344" priority="429"/>
  </conditionalFormatting>
  <conditionalFormatting sqref="I121">
    <cfRule type="duplicateValues" dxfId="343" priority="428"/>
  </conditionalFormatting>
  <conditionalFormatting sqref="I122">
    <cfRule type="duplicateValues" dxfId="342" priority="427"/>
  </conditionalFormatting>
  <conditionalFormatting sqref="I123">
    <cfRule type="duplicateValues" dxfId="341" priority="426"/>
  </conditionalFormatting>
  <conditionalFormatting sqref="I124">
    <cfRule type="duplicateValues" dxfId="340" priority="425"/>
  </conditionalFormatting>
  <conditionalFormatting sqref="I139">
    <cfRule type="duplicateValues" dxfId="339" priority="423"/>
  </conditionalFormatting>
  <conditionalFormatting sqref="I140">
    <cfRule type="duplicateValues" dxfId="338" priority="422"/>
  </conditionalFormatting>
  <conditionalFormatting sqref="I141">
    <cfRule type="duplicateValues" dxfId="337" priority="421"/>
  </conditionalFormatting>
  <conditionalFormatting sqref="I142">
    <cfRule type="duplicateValues" dxfId="336" priority="420"/>
  </conditionalFormatting>
  <conditionalFormatting sqref="I150">
    <cfRule type="duplicateValues" dxfId="335" priority="410"/>
  </conditionalFormatting>
  <conditionalFormatting sqref="I151">
    <cfRule type="duplicateValues" dxfId="334" priority="412"/>
    <cfRule type="duplicateValues" dxfId="333" priority="411"/>
  </conditionalFormatting>
  <conditionalFormatting sqref="I152">
    <cfRule type="duplicateValues" dxfId="332" priority="408"/>
  </conditionalFormatting>
  <conditionalFormatting sqref="I167">
    <cfRule type="duplicateValues" dxfId="331" priority="406"/>
  </conditionalFormatting>
  <conditionalFormatting sqref="I168">
    <cfRule type="duplicateValues" dxfId="330" priority="405"/>
  </conditionalFormatting>
  <conditionalFormatting sqref="I169">
    <cfRule type="duplicateValues" dxfId="329" priority="409"/>
  </conditionalFormatting>
  <conditionalFormatting sqref="I172">
    <cfRule type="duplicateValues" dxfId="328" priority="403"/>
  </conditionalFormatting>
  <conditionalFormatting sqref="I175">
    <cfRule type="duplicateValues" dxfId="327" priority="399"/>
  </conditionalFormatting>
  <conditionalFormatting sqref="I312">
    <cfRule type="duplicateValues" dxfId="326" priority="357"/>
  </conditionalFormatting>
  <conditionalFormatting sqref="I313">
    <cfRule type="duplicateValues" dxfId="325" priority="356"/>
  </conditionalFormatting>
  <conditionalFormatting sqref="I323">
    <cfRule type="duplicateValues" dxfId="324" priority="353"/>
    <cfRule type="duplicateValues" dxfId="323" priority="352"/>
  </conditionalFormatting>
  <conditionalFormatting sqref="I324">
    <cfRule type="duplicateValues" dxfId="322" priority="351"/>
    <cfRule type="duplicateValues" dxfId="321" priority="350"/>
  </conditionalFormatting>
  <conditionalFormatting sqref="I325">
    <cfRule type="duplicateValues" dxfId="320" priority="349"/>
    <cfRule type="duplicateValues" dxfId="319" priority="348"/>
  </conditionalFormatting>
  <conditionalFormatting sqref="I327">
    <cfRule type="duplicateValues" dxfId="318" priority="347"/>
  </conditionalFormatting>
  <conditionalFormatting sqref="I334">
    <cfRule type="duplicateValues" dxfId="317" priority="346"/>
  </conditionalFormatting>
  <conditionalFormatting sqref="I335">
    <cfRule type="duplicateValues" dxfId="316" priority="345"/>
  </conditionalFormatting>
  <conditionalFormatting sqref="I348">
    <cfRule type="duplicateValues" dxfId="315" priority="344"/>
  </conditionalFormatting>
  <conditionalFormatting sqref="I349">
    <cfRule type="duplicateValues" dxfId="314" priority="343"/>
  </conditionalFormatting>
  <conditionalFormatting sqref="I351">
    <cfRule type="duplicateValues" dxfId="313" priority="333"/>
    <cfRule type="duplicateValues" dxfId="312" priority="332"/>
  </conditionalFormatting>
  <conditionalFormatting sqref="I352">
    <cfRule type="duplicateValues" dxfId="311" priority="328"/>
    <cfRule type="duplicateValues" dxfId="310" priority="329"/>
  </conditionalFormatting>
  <conditionalFormatting sqref="I353">
    <cfRule type="duplicateValues" dxfId="309" priority="342"/>
  </conditionalFormatting>
  <conditionalFormatting sqref="I354">
    <cfRule type="duplicateValues" dxfId="308" priority="341"/>
    <cfRule type="duplicateValues" dxfId="307" priority="340"/>
  </conditionalFormatting>
  <conditionalFormatting sqref="I355">
    <cfRule type="duplicateValues" dxfId="306" priority="334"/>
    <cfRule type="duplicateValues" dxfId="305" priority="335"/>
  </conditionalFormatting>
  <conditionalFormatting sqref="I361">
    <cfRule type="duplicateValues" dxfId="304" priority="320"/>
    <cfRule type="duplicateValues" dxfId="303" priority="319"/>
  </conditionalFormatting>
  <conditionalFormatting sqref="I362">
    <cfRule type="duplicateValues" dxfId="302" priority="326"/>
    <cfRule type="duplicateValues" dxfId="301" priority="327"/>
  </conditionalFormatting>
  <conditionalFormatting sqref="I363">
    <cfRule type="duplicateValues" dxfId="300" priority="321"/>
  </conditionalFormatting>
  <conditionalFormatting sqref="I364">
    <cfRule type="duplicateValues" dxfId="299" priority="322"/>
    <cfRule type="duplicateValues" dxfId="298" priority="323"/>
  </conditionalFormatting>
  <conditionalFormatting sqref="I365">
    <cfRule type="duplicateValues" dxfId="297" priority="317"/>
    <cfRule type="duplicateValues" dxfId="296" priority="318"/>
  </conditionalFormatting>
  <conditionalFormatting sqref="I367">
    <cfRule type="duplicateValues" dxfId="295" priority="311"/>
    <cfRule type="duplicateValues" dxfId="294" priority="312"/>
  </conditionalFormatting>
  <conditionalFormatting sqref="I368">
    <cfRule type="duplicateValues" dxfId="293" priority="308"/>
  </conditionalFormatting>
  <conditionalFormatting sqref="I369">
    <cfRule type="duplicateValues" dxfId="292" priority="306"/>
    <cfRule type="duplicateValues" dxfId="291" priority="307"/>
  </conditionalFormatting>
  <conditionalFormatting sqref="I404">
    <cfRule type="duplicateValues" dxfId="290" priority="296"/>
    <cfRule type="duplicateValues" dxfId="289" priority="297"/>
  </conditionalFormatting>
  <conditionalFormatting sqref="I405">
    <cfRule type="duplicateValues" dxfId="288" priority="294"/>
    <cfRule type="duplicateValues" dxfId="287" priority="295"/>
  </conditionalFormatting>
  <conditionalFormatting sqref="I406">
    <cfRule type="duplicateValues" dxfId="286" priority="300"/>
    <cfRule type="duplicateValues" dxfId="285" priority="301"/>
  </conditionalFormatting>
  <conditionalFormatting sqref="I407">
    <cfRule type="duplicateValues" dxfId="284" priority="293"/>
  </conditionalFormatting>
  <conditionalFormatting sqref="I411">
    <cfRule type="duplicateValues" dxfId="283" priority="290"/>
  </conditionalFormatting>
  <conditionalFormatting sqref="I413">
    <cfRule type="duplicateValues" dxfId="282" priority="299"/>
    <cfRule type="duplicateValues" dxfId="281" priority="298"/>
  </conditionalFormatting>
  <conditionalFormatting sqref="I415">
    <cfRule type="duplicateValues" dxfId="280" priority="288"/>
    <cfRule type="duplicateValues" dxfId="279" priority="289"/>
  </conditionalFormatting>
  <conditionalFormatting sqref="I416">
    <cfRule type="duplicateValues" dxfId="278" priority="286"/>
    <cfRule type="duplicateValues" dxfId="277" priority="287"/>
  </conditionalFormatting>
  <conditionalFormatting sqref="I421">
    <cfRule type="duplicateValues" dxfId="276" priority="284"/>
    <cfRule type="duplicateValues" dxfId="275" priority="285"/>
  </conditionalFormatting>
  <conditionalFormatting sqref="I422">
    <cfRule type="duplicateValues" dxfId="274" priority="282"/>
    <cfRule type="duplicateValues" dxfId="273" priority="283"/>
  </conditionalFormatting>
  <conditionalFormatting sqref="I423">
    <cfRule type="duplicateValues" dxfId="272" priority="280"/>
    <cfRule type="duplicateValues" dxfId="271" priority="281"/>
  </conditionalFormatting>
  <conditionalFormatting sqref="I424">
    <cfRule type="duplicateValues" dxfId="270" priority="278"/>
    <cfRule type="duplicateValues" dxfId="269" priority="279"/>
  </conditionalFormatting>
  <conditionalFormatting sqref="I425">
    <cfRule type="duplicateValues" dxfId="268" priority="276"/>
    <cfRule type="duplicateValues" dxfId="267" priority="277"/>
  </conditionalFormatting>
  <conditionalFormatting sqref="I426">
    <cfRule type="duplicateValues" dxfId="266" priority="275"/>
  </conditionalFormatting>
  <conditionalFormatting sqref="I427">
    <cfRule type="duplicateValues" dxfId="265" priority="273"/>
    <cfRule type="duplicateValues" dxfId="264" priority="274"/>
  </conditionalFormatting>
  <conditionalFormatting sqref="I428">
    <cfRule type="duplicateValues" dxfId="263" priority="271"/>
    <cfRule type="duplicateValues" dxfId="262" priority="272"/>
  </conditionalFormatting>
  <conditionalFormatting sqref="I429">
    <cfRule type="duplicateValues" dxfId="261" priority="270"/>
    <cfRule type="duplicateValues" dxfId="260" priority="269"/>
  </conditionalFormatting>
  <conditionalFormatting sqref="I430">
    <cfRule type="duplicateValues" dxfId="259" priority="268"/>
    <cfRule type="duplicateValues" dxfId="258" priority="267"/>
  </conditionalFormatting>
  <conditionalFormatting sqref="I432">
    <cfRule type="duplicateValues" dxfId="257" priority="266"/>
  </conditionalFormatting>
  <conditionalFormatting sqref="I433">
    <cfRule type="duplicateValues" dxfId="256" priority="265"/>
  </conditionalFormatting>
  <conditionalFormatting sqref="I446">
    <cfRule type="duplicateValues" dxfId="255" priority="262"/>
    <cfRule type="duplicateValues" dxfId="254" priority="261"/>
  </conditionalFormatting>
  <conditionalFormatting sqref="I458">
    <cfRule type="duplicateValues" dxfId="253" priority="250"/>
  </conditionalFormatting>
  <conditionalFormatting sqref="I461">
    <cfRule type="duplicateValues" dxfId="252" priority="249"/>
  </conditionalFormatting>
  <conditionalFormatting sqref="I523">
    <cfRule type="duplicateValues" dxfId="251" priority="150"/>
  </conditionalFormatting>
  <conditionalFormatting sqref="I524">
    <cfRule type="duplicateValues" dxfId="250" priority="149"/>
  </conditionalFormatting>
  <conditionalFormatting sqref="I533">
    <cfRule type="duplicateValues" dxfId="249" priority="138"/>
  </conditionalFormatting>
  <conditionalFormatting sqref="I534">
    <cfRule type="duplicateValues" dxfId="248" priority="137"/>
  </conditionalFormatting>
  <conditionalFormatting sqref="I535">
    <cfRule type="duplicateValues" dxfId="247" priority="136"/>
  </conditionalFormatting>
  <conditionalFormatting sqref="I557">
    <cfRule type="duplicateValues" dxfId="246" priority="125"/>
  </conditionalFormatting>
  <conditionalFormatting sqref="I560">
    <cfRule type="duplicateValues" dxfId="245" priority="122"/>
  </conditionalFormatting>
  <conditionalFormatting sqref="I574">
    <cfRule type="duplicateValues" dxfId="244" priority="121"/>
  </conditionalFormatting>
  <conditionalFormatting sqref="I640">
    <cfRule type="duplicateValues" dxfId="243" priority="10"/>
  </conditionalFormatting>
  <conditionalFormatting sqref="I641">
    <cfRule type="duplicateValues" dxfId="242" priority="9"/>
  </conditionalFormatting>
  <conditionalFormatting sqref="I642">
    <cfRule type="duplicateValues" dxfId="241" priority="8"/>
  </conditionalFormatting>
  <conditionalFormatting sqref="I643">
    <cfRule type="duplicateValues" dxfId="240" priority="7"/>
  </conditionalFormatting>
  <conditionalFormatting sqref="I644">
    <cfRule type="duplicateValues" dxfId="239" priority="6"/>
  </conditionalFormatting>
  <conditionalFormatting sqref="I645">
    <cfRule type="duplicateValues" dxfId="238" priority="5"/>
  </conditionalFormatting>
  <conditionalFormatting sqref="I646">
    <cfRule type="duplicateValues" dxfId="237" priority="4"/>
  </conditionalFormatting>
  <conditionalFormatting sqref="I647">
    <cfRule type="duplicateValues" dxfId="236" priority="3"/>
  </conditionalFormatting>
  <conditionalFormatting sqref="I648">
    <cfRule type="duplicateValues" dxfId="235" priority="2"/>
  </conditionalFormatting>
  <conditionalFormatting sqref="I649">
    <cfRule type="duplicateValues" dxfId="234" priority="1"/>
  </conditionalFormatting>
  <conditionalFormatting sqref="J68">
    <cfRule type="duplicateValues" dxfId="233" priority="459"/>
  </conditionalFormatting>
  <conditionalFormatting sqref="J86">
    <cfRule type="duplicateValues" dxfId="232" priority="458"/>
  </conditionalFormatting>
  <conditionalFormatting sqref="J101">
    <cfRule type="duplicateValues" dxfId="231" priority="451"/>
  </conditionalFormatting>
  <conditionalFormatting sqref="J102">
    <cfRule type="duplicateValues" dxfId="230" priority="450"/>
  </conditionalFormatting>
  <conditionalFormatting sqref="J103">
    <cfRule type="duplicateValues" dxfId="229" priority="449"/>
  </conditionalFormatting>
  <conditionalFormatting sqref="J104">
    <cfRule type="duplicateValues" dxfId="228" priority="448"/>
  </conditionalFormatting>
  <conditionalFormatting sqref="J143">
    <cfRule type="duplicateValues" dxfId="227" priority="419"/>
  </conditionalFormatting>
  <conditionalFormatting sqref="J144">
    <cfRule type="duplicateValues" dxfId="226" priority="418"/>
  </conditionalFormatting>
  <conditionalFormatting sqref="J145">
    <cfRule type="duplicateValues" dxfId="225" priority="417"/>
  </conditionalFormatting>
  <conditionalFormatting sqref="J146">
    <cfRule type="duplicateValues" dxfId="224" priority="416"/>
  </conditionalFormatting>
  <conditionalFormatting sqref="J147">
    <cfRule type="duplicateValues" dxfId="223" priority="415"/>
  </conditionalFormatting>
  <conditionalFormatting sqref="J148">
    <cfRule type="duplicateValues" dxfId="222" priority="414"/>
  </conditionalFormatting>
  <conditionalFormatting sqref="J149">
    <cfRule type="duplicateValues" dxfId="221" priority="413"/>
  </conditionalFormatting>
  <conditionalFormatting sqref="J152">
    <cfRule type="duplicateValues" dxfId="220" priority="407"/>
  </conditionalFormatting>
  <conditionalFormatting sqref="J168">
    <cfRule type="duplicateValues" dxfId="219" priority="404"/>
  </conditionalFormatting>
  <conditionalFormatting sqref="J172">
    <cfRule type="duplicateValues" dxfId="218" priority="402"/>
  </conditionalFormatting>
  <conditionalFormatting sqref="L351">
    <cfRule type="duplicateValues" dxfId="217" priority="330"/>
    <cfRule type="duplicateValues" dxfId="216" priority="331"/>
  </conditionalFormatting>
  <conditionalFormatting sqref="L354">
    <cfRule type="duplicateValues" dxfId="215" priority="336"/>
    <cfRule type="duplicateValues" dxfId="214" priority="337"/>
  </conditionalFormatting>
  <conditionalFormatting sqref="L362">
    <cfRule type="duplicateValues" dxfId="213" priority="325"/>
    <cfRule type="duplicateValues" dxfId="212" priority="324"/>
  </conditionalFormatting>
  <conditionalFormatting sqref="L367">
    <cfRule type="duplicateValues" dxfId="211" priority="310"/>
    <cfRule type="duplicateValues" dxfId="210" priority="309"/>
  </conditionalFormatting>
  <conditionalFormatting sqref="L396">
    <cfRule type="duplicateValues" dxfId="209" priority="305"/>
    <cfRule type="duplicateValues" dxfId="208" priority="304"/>
  </conditionalFormatting>
  <conditionalFormatting sqref="L407">
    <cfRule type="duplicateValues" dxfId="207" priority="302"/>
    <cfRule type="duplicateValues" dxfId="206" priority="303"/>
  </conditionalFormatting>
  <conditionalFormatting sqref="L411">
    <cfRule type="duplicateValues" dxfId="205" priority="291"/>
    <cfRule type="duplicateValues" dxfId="204" priority="292"/>
  </conditionalFormatting>
  <conditionalFormatting sqref="L438">
    <cfRule type="duplicateValues" dxfId="203" priority="263"/>
    <cfRule type="duplicateValues" dxfId="202" priority="264"/>
  </conditionalFormatting>
  <conditionalFormatting sqref="L447">
    <cfRule type="duplicateValues" dxfId="201" priority="257"/>
    <cfRule type="duplicateValues" dxfId="200" priority="258"/>
  </conditionalFormatting>
  <conditionalFormatting sqref="L448">
    <cfRule type="duplicateValues" dxfId="199" priority="256"/>
    <cfRule type="duplicateValues" dxfId="198" priority="255"/>
  </conditionalFormatting>
  <conditionalFormatting sqref="L450">
    <cfRule type="duplicateValues" dxfId="197" priority="253"/>
    <cfRule type="duplicateValues" dxfId="196" priority="254"/>
  </conditionalFormatting>
  <conditionalFormatting sqref="L451">
    <cfRule type="duplicateValues" dxfId="195" priority="251"/>
    <cfRule type="duplicateValues" dxfId="194" priority="252"/>
  </conditionalFormatting>
  <conditionalFormatting sqref="L452">
    <cfRule type="duplicateValues" dxfId="193" priority="260"/>
    <cfRule type="duplicateValues" dxfId="192" priority="259"/>
  </conditionalFormatting>
  <conditionalFormatting sqref="L463">
    <cfRule type="duplicateValues" dxfId="191" priority="240"/>
    <cfRule type="duplicateValues" dxfId="190" priority="239"/>
  </conditionalFormatting>
  <conditionalFormatting sqref="L464">
    <cfRule type="duplicateValues" dxfId="189" priority="238"/>
    <cfRule type="duplicateValues" dxfId="188" priority="237"/>
  </conditionalFormatting>
  <conditionalFormatting sqref="L465">
    <cfRule type="duplicateValues" dxfId="187" priority="235"/>
    <cfRule type="duplicateValues" dxfId="186" priority="236"/>
  </conditionalFormatting>
  <conditionalFormatting sqref="L469">
    <cfRule type="duplicateValues" dxfId="185" priority="233"/>
    <cfRule type="duplicateValues" dxfId="184" priority="234"/>
  </conditionalFormatting>
  <conditionalFormatting sqref="L470">
    <cfRule type="duplicateValues" dxfId="183" priority="232"/>
    <cfRule type="duplicateValues" dxfId="182" priority="231"/>
  </conditionalFormatting>
  <conditionalFormatting sqref="L471">
    <cfRule type="duplicateValues" dxfId="181" priority="230"/>
    <cfRule type="duplicateValues" dxfId="180" priority="229"/>
  </conditionalFormatting>
  <conditionalFormatting sqref="L472">
    <cfRule type="duplicateValues" dxfId="179" priority="228"/>
    <cfRule type="duplicateValues" dxfId="178" priority="227"/>
  </conditionalFormatting>
  <conditionalFormatting sqref="L473">
    <cfRule type="duplicateValues" dxfId="177" priority="248"/>
    <cfRule type="duplicateValues" dxfId="176" priority="247"/>
  </conditionalFormatting>
  <conditionalFormatting sqref="L474">
    <cfRule type="duplicateValues" dxfId="175" priority="246"/>
    <cfRule type="duplicateValues" dxfId="174" priority="245"/>
  </conditionalFormatting>
  <conditionalFormatting sqref="L475">
    <cfRule type="duplicateValues" dxfId="173" priority="225"/>
    <cfRule type="duplicateValues" dxfId="172" priority="226"/>
  </conditionalFormatting>
  <conditionalFormatting sqref="L476">
    <cfRule type="duplicateValues" dxfId="171" priority="243"/>
    <cfRule type="duplicateValues" dxfId="170" priority="244"/>
  </conditionalFormatting>
  <conditionalFormatting sqref="L477">
    <cfRule type="duplicateValues" dxfId="169" priority="242"/>
    <cfRule type="duplicateValues" dxfId="168" priority="241"/>
  </conditionalFormatting>
  <conditionalFormatting sqref="L478">
    <cfRule type="duplicateValues" dxfId="167" priority="224"/>
    <cfRule type="duplicateValues" dxfId="166" priority="223"/>
  </conditionalFormatting>
  <conditionalFormatting sqref="L479">
    <cfRule type="duplicateValues" dxfId="165" priority="222"/>
    <cfRule type="duplicateValues" dxfId="164" priority="221"/>
  </conditionalFormatting>
  <conditionalFormatting sqref="L480">
    <cfRule type="duplicateValues" dxfId="163" priority="220"/>
    <cfRule type="duplicateValues" dxfId="162" priority="219"/>
  </conditionalFormatting>
  <conditionalFormatting sqref="L481">
    <cfRule type="duplicateValues" dxfId="161" priority="217"/>
    <cfRule type="duplicateValues" dxfId="160" priority="218"/>
  </conditionalFormatting>
  <conditionalFormatting sqref="L482">
    <cfRule type="duplicateValues" dxfId="159" priority="215"/>
    <cfRule type="duplicateValues" dxfId="158" priority="216"/>
  </conditionalFormatting>
  <conditionalFormatting sqref="L485">
    <cfRule type="duplicateValues" dxfId="157" priority="213"/>
    <cfRule type="duplicateValues" dxfId="156" priority="214"/>
  </conditionalFormatting>
  <conditionalFormatting sqref="L486">
    <cfRule type="duplicateValues" dxfId="155" priority="211"/>
    <cfRule type="duplicateValues" dxfId="154" priority="212"/>
  </conditionalFormatting>
  <conditionalFormatting sqref="L487">
    <cfRule type="duplicateValues" dxfId="153" priority="210"/>
    <cfRule type="duplicateValues" dxfId="152" priority="209"/>
  </conditionalFormatting>
  <conditionalFormatting sqref="L488">
    <cfRule type="duplicateValues" dxfId="151" priority="208"/>
    <cfRule type="duplicateValues" dxfId="150" priority="207"/>
  </conditionalFormatting>
  <conditionalFormatting sqref="L489">
    <cfRule type="duplicateValues" dxfId="149" priority="206"/>
    <cfRule type="duplicateValues" dxfId="148" priority="205"/>
  </conditionalFormatting>
  <conditionalFormatting sqref="L497">
    <cfRule type="duplicateValues" dxfId="147" priority="203"/>
    <cfRule type="duplicateValues" dxfId="146" priority="204"/>
  </conditionalFormatting>
  <conditionalFormatting sqref="L498">
    <cfRule type="duplicateValues" dxfId="145" priority="202"/>
    <cfRule type="duplicateValues" dxfId="144" priority="201"/>
  </conditionalFormatting>
  <conditionalFormatting sqref="L499">
    <cfRule type="duplicateValues" dxfId="143" priority="199"/>
    <cfRule type="duplicateValues" dxfId="142" priority="200"/>
  </conditionalFormatting>
  <conditionalFormatting sqref="L500">
    <cfRule type="duplicateValues" dxfId="141" priority="197"/>
    <cfRule type="duplicateValues" dxfId="140" priority="198"/>
  </conditionalFormatting>
  <conditionalFormatting sqref="L501">
    <cfRule type="duplicateValues" dxfId="139" priority="196"/>
    <cfRule type="duplicateValues" dxfId="138" priority="195"/>
  </conditionalFormatting>
  <conditionalFormatting sqref="L502">
    <cfRule type="duplicateValues" dxfId="137" priority="194"/>
    <cfRule type="duplicateValues" dxfId="136" priority="193"/>
  </conditionalFormatting>
  <conditionalFormatting sqref="L503">
    <cfRule type="duplicateValues" dxfId="135" priority="192"/>
    <cfRule type="duplicateValues" dxfId="134" priority="191"/>
  </conditionalFormatting>
  <conditionalFormatting sqref="L504">
    <cfRule type="duplicateValues" dxfId="133" priority="182"/>
    <cfRule type="duplicateValues" dxfId="132" priority="181"/>
  </conditionalFormatting>
  <conditionalFormatting sqref="L505:L506">
    <cfRule type="duplicateValues" dxfId="131" priority="180"/>
    <cfRule type="duplicateValues" dxfId="130" priority="179"/>
  </conditionalFormatting>
  <conditionalFormatting sqref="L508">
    <cfRule type="duplicateValues" dxfId="129" priority="151"/>
    <cfRule type="duplicateValues" dxfId="128" priority="152"/>
  </conditionalFormatting>
  <conditionalFormatting sqref="L509">
    <cfRule type="duplicateValues" dxfId="127" priority="178"/>
    <cfRule type="duplicateValues" dxfId="126" priority="177"/>
  </conditionalFormatting>
  <conditionalFormatting sqref="L510">
    <cfRule type="duplicateValues" dxfId="125" priority="176"/>
    <cfRule type="duplicateValues" dxfId="124" priority="175"/>
  </conditionalFormatting>
  <conditionalFormatting sqref="L511">
    <cfRule type="duplicateValues" dxfId="123" priority="190"/>
    <cfRule type="duplicateValues" dxfId="122" priority="189"/>
  </conditionalFormatting>
  <conditionalFormatting sqref="L512">
    <cfRule type="duplicateValues" dxfId="121" priority="188"/>
    <cfRule type="duplicateValues" dxfId="120" priority="187"/>
  </conditionalFormatting>
  <conditionalFormatting sqref="L513">
    <cfRule type="duplicateValues" dxfId="119" priority="174"/>
    <cfRule type="duplicateValues" dxfId="118" priority="173"/>
  </conditionalFormatting>
  <conditionalFormatting sqref="L514">
    <cfRule type="duplicateValues" dxfId="117" priority="186"/>
    <cfRule type="duplicateValues" dxfId="116" priority="185"/>
  </conditionalFormatting>
  <conditionalFormatting sqref="L515">
    <cfRule type="duplicateValues" dxfId="115" priority="184"/>
    <cfRule type="duplicateValues" dxfId="114" priority="183"/>
  </conditionalFormatting>
  <conditionalFormatting sqref="L516">
    <cfRule type="duplicateValues" dxfId="113" priority="172"/>
    <cfRule type="duplicateValues" dxfId="112" priority="171"/>
  </conditionalFormatting>
  <conditionalFormatting sqref="L517">
    <cfRule type="duplicateValues" dxfId="111" priority="169"/>
    <cfRule type="duplicateValues" dxfId="110" priority="170"/>
  </conditionalFormatting>
  <conditionalFormatting sqref="L518">
    <cfRule type="duplicateValues" dxfId="109" priority="168"/>
    <cfRule type="duplicateValues" dxfId="108" priority="167"/>
  </conditionalFormatting>
  <conditionalFormatting sqref="L519">
    <cfRule type="duplicateValues" dxfId="107" priority="166"/>
    <cfRule type="duplicateValues" dxfId="106" priority="165"/>
  </conditionalFormatting>
  <conditionalFormatting sqref="L520">
    <cfRule type="duplicateValues" dxfId="105" priority="164"/>
    <cfRule type="duplicateValues" dxfId="104" priority="163"/>
  </conditionalFormatting>
  <conditionalFormatting sqref="L523:L524">
    <cfRule type="duplicateValues" dxfId="103" priority="162"/>
    <cfRule type="duplicateValues" dxfId="102" priority="161"/>
  </conditionalFormatting>
  <conditionalFormatting sqref="L525">
    <cfRule type="duplicateValues" dxfId="101" priority="159"/>
    <cfRule type="duplicateValues" dxfId="100" priority="160"/>
  </conditionalFormatting>
  <conditionalFormatting sqref="L526">
    <cfRule type="duplicateValues" dxfId="99" priority="158"/>
    <cfRule type="duplicateValues" dxfId="98" priority="157"/>
  </conditionalFormatting>
  <conditionalFormatting sqref="L527">
    <cfRule type="duplicateValues" dxfId="97" priority="155"/>
    <cfRule type="duplicateValues" dxfId="96" priority="156"/>
  </conditionalFormatting>
  <conditionalFormatting sqref="L530">
    <cfRule type="duplicateValues" dxfId="95" priority="146"/>
    <cfRule type="duplicateValues" dxfId="94" priority="145"/>
  </conditionalFormatting>
  <conditionalFormatting sqref="L554">
    <cfRule type="duplicateValues" dxfId="93" priority="133"/>
    <cfRule type="duplicateValues" dxfId="92" priority="132"/>
  </conditionalFormatting>
  <conditionalFormatting sqref="L555">
    <cfRule type="duplicateValues" dxfId="91" priority="130"/>
    <cfRule type="duplicateValues" dxfId="90" priority="131"/>
  </conditionalFormatting>
  <conditionalFormatting sqref="L556:L559 L553 L561:L575">
    <cfRule type="duplicateValues" dxfId="89" priority="135"/>
    <cfRule type="duplicateValues" dxfId="88" priority="134"/>
  </conditionalFormatting>
  <conditionalFormatting sqref="L560">
    <cfRule type="duplicateValues" dxfId="87" priority="124"/>
    <cfRule type="duplicateValues" dxfId="86" priority="123"/>
  </conditionalFormatting>
  <conditionalFormatting sqref="L576 L579 L582:L585 L587:L588 L590:L601">
    <cfRule type="duplicateValues" dxfId="85" priority="120"/>
    <cfRule type="duplicateValues" dxfId="84" priority="119"/>
  </conditionalFormatting>
  <conditionalFormatting sqref="L577">
    <cfRule type="duplicateValues" dxfId="83" priority="117"/>
    <cfRule type="duplicateValues" dxfId="82" priority="118"/>
  </conditionalFormatting>
  <conditionalFormatting sqref="L578">
    <cfRule type="duplicateValues" dxfId="81" priority="116"/>
    <cfRule type="duplicateValues" dxfId="80" priority="115"/>
  </conditionalFormatting>
  <conditionalFormatting sqref="L580">
    <cfRule type="duplicateValues" dxfId="79" priority="113"/>
    <cfRule type="duplicateValues" dxfId="78" priority="114"/>
  </conditionalFormatting>
  <conditionalFormatting sqref="L581">
    <cfRule type="duplicateValues" dxfId="77" priority="112"/>
    <cfRule type="duplicateValues" dxfId="76" priority="111"/>
  </conditionalFormatting>
  <conditionalFormatting sqref="L586">
    <cfRule type="duplicateValues" dxfId="75" priority="110"/>
    <cfRule type="duplicateValues" dxfId="74" priority="109"/>
  </conditionalFormatting>
  <conditionalFormatting sqref="L589">
    <cfRule type="duplicateValues" dxfId="73" priority="107"/>
    <cfRule type="duplicateValues" dxfId="72" priority="108"/>
  </conditionalFormatting>
  <conditionalFormatting sqref="L602">
    <cfRule type="duplicateValues" dxfId="71" priority="105"/>
    <cfRule type="duplicateValues" dxfId="70" priority="106"/>
  </conditionalFormatting>
  <conditionalFormatting sqref="L603">
    <cfRule type="duplicateValues" dxfId="69" priority="104"/>
    <cfRule type="duplicateValues" dxfId="68" priority="103"/>
  </conditionalFormatting>
  <conditionalFormatting sqref="L604">
    <cfRule type="duplicateValues" dxfId="67" priority="101"/>
    <cfRule type="duplicateValues" dxfId="66" priority="102"/>
  </conditionalFormatting>
  <conditionalFormatting sqref="L605">
    <cfRule type="duplicateValues" dxfId="65" priority="93"/>
    <cfRule type="duplicateValues" dxfId="64" priority="94"/>
  </conditionalFormatting>
  <conditionalFormatting sqref="L606">
    <cfRule type="duplicateValues" dxfId="63" priority="95"/>
    <cfRule type="duplicateValues" dxfId="62" priority="96"/>
  </conditionalFormatting>
  <conditionalFormatting sqref="L607">
    <cfRule type="duplicateValues" dxfId="61" priority="91"/>
    <cfRule type="duplicateValues" dxfId="60" priority="92"/>
  </conditionalFormatting>
  <conditionalFormatting sqref="L608">
    <cfRule type="duplicateValues" dxfId="59" priority="77"/>
    <cfRule type="duplicateValues" dxfId="58" priority="78"/>
  </conditionalFormatting>
  <conditionalFormatting sqref="L609">
    <cfRule type="duplicateValues" dxfId="57" priority="74"/>
    <cfRule type="duplicateValues" dxfId="56" priority="73"/>
  </conditionalFormatting>
  <conditionalFormatting sqref="L610">
    <cfRule type="duplicateValues" dxfId="55" priority="72"/>
    <cfRule type="duplicateValues" dxfId="54" priority="71"/>
  </conditionalFormatting>
  <conditionalFormatting sqref="L611">
    <cfRule type="duplicateValues" dxfId="53" priority="70"/>
    <cfRule type="duplicateValues" dxfId="52" priority="69"/>
  </conditionalFormatting>
  <conditionalFormatting sqref="L612">
    <cfRule type="duplicateValues" dxfId="51" priority="67"/>
    <cfRule type="duplicateValues" dxfId="50" priority="68"/>
  </conditionalFormatting>
  <conditionalFormatting sqref="L613">
    <cfRule type="duplicateValues" dxfId="49" priority="65"/>
    <cfRule type="duplicateValues" dxfId="48" priority="66"/>
  </conditionalFormatting>
  <conditionalFormatting sqref="L614">
    <cfRule type="duplicateValues" dxfId="47" priority="75"/>
    <cfRule type="duplicateValues" dxfId="46" priority="76"/>
  </conditionalFormatting>
  <conditionalFormatting sqref="L615">
    <cfRule type="duplicateValues" dxfId="45" priority="64"/>
    <cfRule type="duplicateValues" dxfId="44" priority="63"/>
  </conditionalFormatting>
  <conditionalFormatting sqref="L616">
    <cfRule type="duplicateValues" dxfId="43" priority="61"/>
    <cfRule type="duplicateValues" dxfId="42" priority="62"/>
  </conditionalFormatting>
  <conditionalFormatting sqref="L617">
    <cfRule type="duplicateValues" dxfId="41" priority="60"/>
    <cfRule type="duplicateValues" dxfId="40" priority="59"/>
  </conditionalFormatting>
  <conditionalFormatting sqref="L618">
    <cfRule type="duplicateValues" dxfId="39" priority="57"/>
    <cfRule type="duplicateValues" dxfId="38" priority="58"/>
  </conditionalFormatting>
  <conditionalFormatting sqref="L619">
    <cfRule type="duplicateValues" dxfId="37" priority="55"/>
    <cfRule type="duplicateValues" dxfId="36" priority="56"/>
  </conditionalFormatting>
  <conditionalFormatting sqref="L620">
    <cfRule type="duplicateValues" dxfId="35" priority="54"/>
    <cfRule type="duplicateValues" dxfId="34" priority="53"/>
  </conditionalFormatting>
  <conditionalFormatting sqref="L621">
    <cfRule type="duplicateValues" dxfId="33" priority="80"/>
    <cfRule type="duplicateValues" dxfId="32" priority="79"/>
  </conditionalFormatting>
  <conditionalFormatting sqref="L622:L623">
    <cfRule type="duplicateValues" dxfId="31" priority="82"/>
    <cfRule type="duplicateValues" dxfId="30" priority="81"/>
  </conditionalFormatting>
  <conditionalFormatting sqref="L624">
    <cfRule type="duplicateValues" dxfId="29" priority="51"/>
    <cfRule type="duplicateValues" dxfId="28" priority="52"/>
  </conditionalFormatting>
  <conditionalFormatting sqref="L625">
    <cfRule type="duplicateValues" dxfId="27" priority="50"/>
    <cfRule type="duplicateValues" dxfId="26" priority="49"/>
  </conditionalFormatting>
  <conditionalFormatting sqref="L626">
    <cfRule type="duplicateValues" dxfId="25" priority="48"/>
    <cfRule type="duplicateValues" dxfId="24" priority="47"/>
  </conditionalFormatting>
  <conditionalFormatting sqref="L627">
    <cfRule type="duplicateValues" dxfId="23" priority="46"/>
    <cfRule type="duplicateValues" dxfId="22" priority="45"/>
  </conditionalFormatting>
  <conditionalFormatting sqref="L628">
    <cfRule type="duplicateValues" dxfId="21" priority="35"/>
    <cfRule type="duplicateValues" dxfId="20" priority="36"/>
  </conditionalFormatting>
  <conditionalFormatting sqref="L629">
    <cfRule type="duplicateValues" dxfId="19" priority="33"/>
    <cfRule type="duplicateValues" dxfId="18" priority="34"/>
  </conditionalFormatting>
  <conditionalFormatting sqref="L630">
    <cfRule type="duplicateValues" dxfId="17" priority="38"/>
    <cfRule type="duplicateValues" dxfId="16" priority="37"/>
  </conditionalFormatting>
  <conditionalFormatting sqref="L631">
    <cfRule type="duplicateValues" dxfId="15" priority="32"/>
    <cfRule type="duplicateValues" dxfId="14" priority="31"/>
  </conditionalFormatting>
  <conditionalFormatting sqref="L632">
    <cfRule type="duplicateValues" dxfId="13" priority="30"/>
    <cfRule type="duplicateValues" dxfId="12" priority="29"/>
  </conditionalFormatting>
  <conditionalFormatting sqref="L633">
    <cfRule type="duplicateValues" dxfId="11" priority="28"/>
    <cfRule type="duplicateValues" dxfId="10" priority="27"/>
  </conditionalFormatting>
  <conditionalFormatting sqref="L634">
    <cfRule type="duplicateValues" dxfId="9" priority="26"/>
    <cfRule type="duplicateValues" dxfId="8" priority="25"/>
  </conditionalFormatting>
  <conditionalFormatting sqref="L635">
    <cfRule type="duplicateValues" dxfId="7" priority="24"/>
    <cfRule type="duplicateValues" dxfId="6" priority="23"/>
  </conditionalFormatting>
  <conditionalFormatting sqref="L636">
    <cfRule type="duplicateValues" dxfId="5" priority="21"/>
    <cfRule type="duplicateValues" dxfId="4" priority="22"/>
  </conditionalFormatting>
  <conditionalFormatting sqref="L637">
    <cfRule type="duplicateValues" dxfId="3" priority="41"/>
    <cfRule type="duplicateValues" dxfId="2" priority="42"/>
  </conditionalFormatting>
  <conditionalFormatting sqref="L638:L651">
    <cfRule type="duplicateValues" dxfId="1" priority="43"/>
    <cfRule type="duplicateValues" dxfId="0" priority="44"/>
  </conditionalFormatting>
  <dataValidations count="2">
    <dataValidation type="list" allowBlank="1" showInputMessage="1" showErrorMessage="1" sqref="J173:J186 J153:J167 J169:J171 J150:J151 J105:J142 J87:J100 J69:J85 J4:J67 J240:J651" xr:uid="{00000000-0002-0000-0100-000000000000}">
      <formula1>"RMC,Road Project,Export,Infra,Others"</formula1>
    </dataValidation>
    <dataValidation type="list" allowBlank="1" showInputMessage="1" showErrorMessage="1" sqref="K4:K186 K240:K651" xr:uid="{00000000-0002-0000-0100-000001000000}">
      <formula1>"CASH,CREDIT"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Sales-Report-with Scolpin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Calyx_HP4</dc:creator>
  <cp:lastModifiedBy>k.sivaprasada@sgminerals.com</cp:lastModifiedBy>
  <dcterms:created xsi:type="dcterms:W3CDTF">2024-03-16T05:25:02Z</dcterms:created>
  <dcterms:modified xsi:type="dcterms:W3CDTF">2025-11-07T05:32:32Z</dcterms:modified>
</cp:coreProperties>
</file>